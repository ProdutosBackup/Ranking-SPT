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640" firstSheet="6" activeTab="11"/>
  </bookViews>
  <sheets>
    <sheet name="200K OMAHA 5 K.O" sheetId="1" r:id="rId1"/>
    <sheet name="HORSE" sheetId="2" r:id="rId2"/>
    <sheet name="SUPER K.O" sheetId="3" r:id="rId3"/>
    <sheet name="8 GAME" sheetId="4" r:id="rId4"/>
    <sheet name="100K OMAHA MYSTERY BOUNTY" sheetId="5" r:id="rId5"/>
    <sheet name="CHAMPIONSHIP HIGH ROLLER 200K" sheetId="6" r:id="rId6"/>
    <sheet name="PLO-NLH DEALER´S CHOICE PIJAMA" sheetId="7" r:id="rId7"/>
    <sheet name="Main Event SPT - Dia Final" sheetId="8" r:id="rId8"/>
    <sheet name="SECOND CHANCE" sheetId="9" r:id="rId9"/>
    <sheet name="HIGH ROLLER 50K" sheetId="10" r:id="rId10"/>
    <sheet name="OMAHA DEALER´S CHOICE" sheetId="11" r:id="rId11"/>
    <sheet name="Consolidado" sheetId="12" r:id="rId12"/>
  </sheets>
  <definedNames>
    <definedName name="_xlnm._FilterDatabase" localSheetId="11" hidden="1">Consolidado!$A$4:$P$245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<sst xmlns="http://schemas.openxmlformats.org/spreadsheetml/2006/main" count="1984" uniqueCount="529">
  <si>
    <t>200K OMAHA 5 K.O</t>
  </si>
  <si>
    <t>Data (Brasília)</t>
  </si>
  <si>
    <t>25/09/2026 20:00</t>
  </si>
  <si>
    <t>Buy-in (R$)</t>
  </si>
  <si>
    <t>BUY IN</t>
  </si>
  <si>
    <t>REENTRY</t>
  </si>
  <si>
    <t>Inscritos</t>
  </si>
  <si>
    <t>AÇÕES TOTAIS</t>
  </si>
  <si>
    <t>Modelo de ranking</t>
  </si>
  <si>
    <t>Ranking Geral SPT</t>
  </si>
  <si>
    <t>Fator do torneio</t>
  </si>
  <si>
    <t>Posição</t>
  </si>
  <si>
    <t>Jogador</t>
  </si>
  <si>
    <t>Pontos</t>
  </si>
  <si>
    <t>ID jogador</t>
  </si>
  <si>
    <t>Vasco Tavares Neto</t>
  </si>
  <si>
    <t>cdb58c59-1a68-4cfd-addc-fd60b340333e</t>
  </si>
  <si>
    <t>Cahuê Silva</t>
  </si>
  <si>
    <t>69751524-cba2-4cda-9f43-919b8f94c625</t>
  </si>
  <si>
    <t>Arnaldo Fernandes</t>
  </si>
  <si>
    <t>98e770ec-3b4a-4926-ae42-3f94f793e5c9</t>
  </si>
  <si>
    <t>Rodrigo Akira</t>
  </si>
  <si>
    <t>fd72cafe-ad50-4a7e-9b82-47c280d68b54</t>
  </si>
  <si>
    <t>Adriano Junior Dos Santos</t>
  </si>
  <si>
    <t>62d70180-dad7-4f59-8d45-bf39a88b718d</t>
  </si>
  <si>
    <t>Andrey Pérez do lago</t>
  </si>
  <si>
    <t>77f10e48-14e7-4092-b1ce-a854127650fe</t>
  </si>
  <si>
    <t>Talles Eduardo Andrade Silva</t>
  </si>
  <si>
    <t>bbe55b16-9c27-4d20-82d7-aaad63f72799</t>
  </si>
  <si>
    <t>Caio Araujo</t>
  </si>
  <si>
    <t>9613e373-6975-461b-bb7a-c10865de9991</t>
  </si>
  <si>
    <t>Adrian Moro Moz</t>
  </si>
  <si>
    <t>1863ace8-d2a8-4d4a-b70a-3e3e84be9ebd</t>
  </si>
  <si>
    <t>Lucio Antunes</t>
  </si>
  <si>
    <t>f9fb983d-1980-4587-9cda-1a7331878e31</t>
  </si>
  <si>
    <t>Kelvin costner Alves de Oliveira</t>
  </si>
  <si>
    <t>d30ba6a4-f1a4-4dd6-ba3d-0aad5f8e3b6e</t>
  </si>
  <si>
    <t>Edval João de Almeida</t>
  </si>
  <si>
    <t>3402f7df-4929-476c-93e8-683e28685f16</t>
  </si>
  <si>
    <t>jonathan duarte sobral</t>
  </si>
  <si>
    <t>f066f647-b801-4b92-bc33-ea8a1bea3dd0</t>
  </si>
  <si>
    <t>Davi Fraiz de Araujo</t>
  </si>
  <si>
    <t>6ab11d97-40cc-4275-93d4-fda17a00445f</t>
  </si>
  <si>
    <t>Lucas Roson Panzarin</t>
  </si>
  <si>
    <t>6efd67f4-7459-472e-90d0-6aa804d530c5</t>
  </si>
  <si>
    <t>Rogério da Silva Mota</t>
  </si>
  <si>
    <t>f7e7b6a4-5aa9-4917-ae19-00c2d685d33c</t>
  </si>
  <si>
    <t>Luiz Antonio Tavares</t>
  </si>
  <si>
    <t>51182213-0ec4-4cda-9b91-ec734973eed0</t>
  </si>
  <si>
    <t>Rafael Bryan</t>
  </si>
  <si>
    <t>f0215c4b-0e9a-49c6-9a14-a65ed0a51603</t>
  </si>
  <si>
    <t>Joao Henrique da Silva Santos</t>
  </si>
  <si>
    <t>f1ba21e7-0ef7-4d0d-9957-1a49ee2aa9c7</t>
  </si>
  <si>
    <t>Juan jhosep julca chavez</t>
  </si>
  <si>
    <t>d5d8c1a6-f080-47b8-b6b6-76a323dd68af</t>
  </si>
  <si>
    <t>Cristiano Vieira Santiago</t>
  </si>
  <si>
    <t>60742665-e967-4233-92ad-a5b7037cd617</t>
  </si>
  <si>
    <t>BRENNO LENZI RESENDE</t>
  </si>
  <si>
    <t>01a28d50-7929-4a30-80c9-3b4499aa8aec</t>
  </si>
  <si>
    <t>José Heraldo Vaughi Jr</t>
  </si>
  <si>
    <t>f3c0feab-f1a4-4c48-8860-f31ec9624720</t>
  </si>
  <si>
    <t>Bruno Ferreira da Silva</t>
  </si>
  <si>
    <t>4984e0be-3cbb-4d61-b204-2a24092e0737</t>
  </si>
  <si>
    <t>Denison Klein Barreiros Da Silva</t>
  </si>
  <si>
    <t>f083d6b0-8a98-4acd-9954-b9ba3f097c24</t>
  </si>
  <si>
    <t>Anderson Neris</t>
  </si>
  <si>
    <t>352e977d-2200-45c6-ac7a-28479a134b78</t>
  </si>
  <si>
    <t>DANIEL AFFONSO</t>
  </si>
  <si>
    <t>cc9357bb-238f-4470-84e3-c4dff24f37e7</t>
  </si>
  <si>
    <t>Matheus Rodrigues Tognetti</t>
  </si>
  <si>
    <t>87019a8a-4ce8-487c-85aa-9b70737fb411</t>
  </si>
  <si>
    <t>Abilio Moço Vieira Neto</t>
  </si>
  <si>
    <t>5d2d11fa-fe04-4b55-bba1-60754b2d77f4</t>
  </si>
  <si>
    <t>Diogo Yamamoto</t>
  </si>
  <si>
    <t>99a597dd-8341-44b2-918d-d96932ba6515</t>
  </si>
  <si>
    <t>Total de pontos distribuídos</t>
  </si>
  <si>
    <t>"—" = sem colocação (pontua pelo fora do ITM / participação)</t>
  </si>
  <si>
    <t>HORSE</t>
  </si>
  <si>
    <t>25/09/2026 21:00</t>
  </si>
  <si>
    <t>Luke James Zinger</t>
  </si>
  <si>
    <t>d434d9c4-86dd-4ef4-b89c-cde4d20c6239</t>
  </si>
  <si>
    <t>Marcelo Lanza</t>
  </si>
  <si>
    <t>0387a8d1-fd63-47aa-b6e6-c9844ffd8f74</t>
  </si>
  <si>
    <t>Carlos Felipe Verlangieri Difini</t>
  </si>
  <si>
    <t>d1f3f8d1-d4cb-47c5-a0d2-caedbc1aa2df</t>
  </si>
  <si>
    <t>Willian Pereira Barreto</t>
  </si>
  <si>
    <t>30731263-0701-4649-ae32-6cbf76e46ac0</t>
  </si>
  <si>
    <t>Gabriela Belisario Lanza</t>
  </si>
  <si>
    <t>da65c14b-1c75-4caf-826e-80d52a925dfd</t>
  </si>
  <si>
    <t>Rodrigo garrido</t>
  </si>
  <si>
    <t>e6ab286c-1580-4f8b-99fa-7f5b6b68f057</t>
  </si>
  <si>
    <t>Gilmar José Chrusciak</t>
  </si>
  <si>
    <t>89624abc-cc55-4e67-bc85-0554b1be8152</t>
  </si>
  <si>
    <t>Guilherme kalil</t>
  </si>
  <si>
    <t>17d3a65f-9f94-4ae5-89c9-13dfb3da1fac</t>
  </si>
  <si>
    <t>Bruno Larotonda</t>
  </si>
  <si>
    <t>02983ecc-0141-4a93-bfda-ed3a55643047</t>
  </si>
  <si>
    <t>Regina Cassab</t>
  </si>
  <si>
    <t>e3fdc36f-446f-43ed-b524-9faa96e4f9cd</t>
  </si>
  <si>
    <t>Hebert Sampaio Ribeiro</t>
  </si>
  <si>
    <t>c0db0f45-6232-49d7-98ad-44131e91f83a</t>
  </si>
  <si>
    <t>PEDRO HERNESTO ZUCCARATO BAROSSI</t>
  </si>
  <si>
    <t>2848e788-065d-4b16-ab46-d6407babf9b4</t>
  </si>
  <si>
    <t>Jose Mario Sampaio</t>
  </si>
  <si>
    <t>e307369f-cba7-4833-8a18-89045bdfc957</t>
  </si>
  <si>
    <t>Gustavo Akio</t>
  </si>
  <si>
    <t>ec7d2735-4445-4bc3-9d4b-59b11b88af74</t>
  </si>
  <si>
    <t>Bruno Avedisian Laudari</t>
  </si>
  <si>
    <t>1096a2de-8b2d-4c62-9cfc-0846d7a2f409</t>
  </si>
  <si>
    <t>SUPER K.O</t>
  </si>
  <si>
    <t>25/09/2026 22:00</t>
  </si>
  <si>
    <t>Renato Jose Maria</t>
  </si>
  <si>
    <t>bca868bb-13fb-493f-bbd4-0d430df82853</t>
  </si>
  <si>
    <t>Tomaz Santos Pazito</t>
  </si>
  <si>
    <t>0f2b0eec-3478-4fa0-acd8-5e7cc92b6703</t>
  </si>
  <si>
    <t>Auro Damazio De Assis</t>
  </si>
  <si>
    <t>e8f409ae-c83b-49cf-a0fc-72d9c4e932ee</t>
  </si>
  <si>
    <t>Warley Santos</t>
  </si>
  <si>
    <t>a1597f02-c745-4804-b91e-5125fd8be63b</t>
  </si>
  <si>
    <t>—</t>
  </si>
  <si>
    <t>Bruno Blois</t>
  </si>
  <si>
    <t>afe6ed6f-969e-40f2-bfaf-16f12f716525</t>
  </si>
  <si>
    <t>Daniel da Silva Santos</t>
  </si>
  <si>
    <t>97a3d8e5-6ff9-4794-ae9f-e12b622a6094</t>
  </si>
  <si>
    <t>Diego silva nunes machado</t>
  </si>
  <si>
    <t>731563ca-2145-426a-8b7e-682434ee9134</t>
  </si>
  <si>
    <t>Edwigenes Doria Alves Pereira</t>
  </si>
  <si>
    <t>7429e92a-f250-421f-87e1-40363db7988e</t>
  </si>
  <si>
    <t>Felipe Urban</t>
  </si>
  <si>
    <t>b5978087-2dc4-4b69-94c1-a94ad7e54e5f</t>
  </si>
  <si>
    <t>Gabriel Antunes Rodrigues Vital</t>
  </si>
  <si>
    <t>068c0c2c-6f84-4003-9810-04a260ef4ad8</t>
  </si>
  <si>
    <t>Geovane Rodrigues</t>
  </si>
  <si>
    <t>0cef31de-1da9-4a84-9859-e7abc6f26a3c</t>
  </si>
  <si>
    <t>Helvio Queiroz</t>
  </si>
  <si>
    <t>b688e110-3035-4163-adf6-a9ae3bbe90cc</t>
  </si>
  <si>
    <t>Hilberto g c souza</t>
  </si>
  <si>
    <t>26339c66-1e6b-47b1-b1b9-fe56936acfc7</t>
  </si>
  <si>
    <t>Idalino Pereira Ribeiro</t>
  </si>
  <si>
    <t>c4ebbf9d-95e3-466d-9de7-77471d8dc4a4</t>
  </si>
  <si>
    <t>JEAN PAULO OLENKA</t>
  </si>
  <si>
    <t>9bdeb530-e358-4bea-b701-67f83b9fad65</t>
  </si>
  <si>
    <t>Joao Victor Sanchez</t>
  </si>
  <si>
    <t>22b11b18-b6a9-4173-b4ba-e4ed4e6aff9e</t>
  </si>
  <si>
    <t>Luis Cesar Farias</t>
  </si>
  <si>
    <t>8cdddc8b-835c-41ee-a726-0b786c75411f</t>
  </si>
  <si>
    <t>Maicon Gomes Rodrigues dos santos</t>
  </si>
  <si>
    <t>46ee689b-86af-4dcd-823d-74ee5803b500</t>
  </si>
  <si>
    <t>Matheus</t>
  </si>
  <si>
    <t>d1d8148f-f902-4e61-815b-2a704ab71b3a</t>
  </si>
  <si>
    <t>Michael de Lima Barroso</t>
  </si>
  <si>
    <t>b622dfb8-1228-4196-8340-52e981bf1a75</t>
  </si>
  <si>
    <t>Murilo Honorio Monteiro</t>
  </si>
  <si>
    <t>8091839b-2920-4b15-8f0e-292e9377a083</t>
  </si>
  <si>
    <t>Pedro Henrique de Almeida</t>
  </si>
  <si>
    <t>9f97c854-f269-42d9-9927-e64eddc3624d</t>
  </si>
  <si>
    <t>Pedro Henrique Martins Melo</t>
  </si>
  <si>
    <t>ae0d498b-ed1f-4b70-a0dd-bb2be0b48016</t>
  </si>
  <si>
    <t>Rafael De Figueiredo</t>
  </si>
  <si>
    <t>2861545b-c10a-47c2-9e65-9332b33a0806</t>
  </si>
  <si>
    <t>Rafael Gustavo Araujo</t>
  </si>
  <si>
    <t>4c73a25b-a3c5-4a2e-8874-f749c31dec75</t>
  </si>
  <si>
    <t>Roberto J Santos</t>
  </si>
  <si>
    <t>b430bf0b-161a-47c3-bab0-d1a8e5286174</t>
  </si>
  <si>
    <t>8 GAME</t>
  </si>
  <si>
    <t>26/09/2026 15:00</t>
  </si>
  <si>
    <t>Daniel Fuzetto Ferreira</t>
  </si>
  <si>
    <t>3595283d-1d4b-4817-b828-d7b9ba6c188a</t>
  </si>
  <si>
    <t>100K OMAHA MYSTERY BOUNTY</t>
  </si>
  <si>
    <t>26/09/2026 17:00</t>
  </si>
  <si>
    <t>Saulo Artuso Bueno Panini Mazarin</t>
  </si>
  <si>
    <t>1d6fd03a-4245-47fe-bbd3-1b7c2cbb1cb2</t>
  </si>
  <si>
    <t>leonardo nascimento aguiar</t>
  </si>
  <si>
    <t>dcb542fc-ffe8-4b31-bb9c-04ed778f69a1</t>
  </si>
  <si>
    <t>MAURILIO MARDEGAN MENDES</t>
  </si>
  <si>
    <t>064c16f0-6f94-4aeb-9bc6-932f228f1cbf</t>
  </si>
  <si>
    <t>Alexandre Hirazawa</t>
  </si>
  <si>
    <t>c691d3cc-783a-4c89-bd1b-559cccbd51f9</t>
  </si>
  <si>
    <t>Bruno Hirata</t>
  </si>
  <si>
    <t>5a3fcf16-3962-4404-a44c-470d7e202f7c</t>
  </si>
  <si>
    <t>Carlos Alberto dos Santos</t>
  </si>
  <si>
    <t>39d5c327-7408-41de-9b55-d1ed4cc1d388</t>
  </si>
  <si>
    <t>Fábio Makoto Sasaki</t>
  </si>
  <si>
    <t>26fe5221-ebeb-4df5-8a43-8a294ac6ce93</t>
  </si>
  <si>
    <t>CHAMPIONSHIP HIGH ROLLER 200K</t>
  </si>
  <si>
    <t>26/09/2026 19:00</t>
  </si>
  <si>
    <t>sergio roberto motta</t>
  </si>
  <si>
    <t>9edddfc2-3d8f-4b40-a447-65418cca62df</t>
  </si>
  <si>
    <t>Leandro Guedes Burlamaqui</t>
  </si>
  <si>
    <t>140e2923-c35f-4030-a0b7-736b554fd263</t>
  </si>
  <si>
    <t>Athos Matheus Fabio Moreira</t>
  </si>
  <si>
    <t>4dea4cc9-69cf-4f49-a711-468a6d9208a7</t>
  </si>
  <si>
    <t>Juan Carlos Guerra Cabrera</t>
  </si>
  <si>
    <t>e5723b58-50e9-4b38-941e-b254a238b0d3</t>
  </si>
  <si>
    <t>Jonatas Henrique Chaves de Castro</t>
  </si>
  <si>
    <t>22ad3b9b-c1c2-4bbb-a2d4-6fa19404bb29</t>
  </si>
  <si>
    <t>Vinicius varella de Almeida</t>
  </si>
  <si>
    <t>35597d0c-5061-4b3d-9321-bdb40d73ea72</t>
  </si>
  <si>
    <t>Gabriel Cabello</t>
  </si>
  <si>
    <t>6ff7d620-a783-40df-be8f-689c106a76cb</t>
  </si>
  <si>
    <t>Marcio dos Passos Silva</t>
  </si>
  <si>
    <t>2162ca9a-8996-456a-9d03-77fb63eef2b9</t>
  </si>
  <si>
    <t>Victor “VibizSbrissa” Sbrissa</t>
  </si>
  <si>
    <t>44a219df-c20e-49dd-b841-cd430c9b7c7e</t>
  </si>
  <si>
    <t>Alexandre Godoy de Moraes</t>
  </si>
  <si>
    <t>e59615b2-4004-4d8c-b2d7-9401190703af</t>
  </si>
  <si>
    <t>Ronam Malquais De Oliveria</t>
  </si>
  <si>
    <t>f432153d-0994-44a5-912c-52e5d93caff2</t>
  </si>
  <si>
    <t>Otávio Santos Miranda</t>
  </si>
  <si>
    <t>f31eda6d-fbcb-40ed-ac32-a52e9b353402</t>
  </si>
  <si>
    <t>Renan Demetrio</t>
  </si>
  <si>
    <t>f4e16301-bcdd-41a2-a6a0-8de74ec0baf9</t>
  </si>
  <si>
    <t>Fernando Luiz Braga dos santos</t>
  </si>
  <si>
    <t>3711dc44-096b-4016-87db-73810132e402</t>
  </si>
  <si>
    <t>Rafael oliveira takeda</t>
  </si>
  <si>
    <t>cdb219f8-48d8-484c-838d-848c2eeaaa38</t>
  </si>
  <si>
    <t>Helder Augusto Fontana</t>
  </si>
  <si>
    <t>1345abbf-5cf7-42b7-90b3-35ba3c9a3435</t>
  </si>
  <si>
    <t>Nicolas Coppini Camioto Santos</t>
  </si>
  <si>
    <t>330a144b-088f-40fe-9afa-26ca02f91171</t>
  </si>
  <si>
    <t>Wilian Belduscho Nascimento</t>
  </si>
  <si>
    <t>2980ed64-e557-4cbf-9f6c-15053bc0bbe8</t>
  </si>
  <si>
    <t>FABIO JORGE ISSA GOMES</t>
  </si>
  <si>
    <t>00374b46-9eba-4862-818b-9fdebc8fd831</t>
  </si>
  <si>
    <t>Claudio Lucio De Araujo</t>
  </si>
  <si>
    <t>6db7035c-03b3-49b2-b09f-08e843a5acfa</t>
  </si>
  <si>
    <t>Rodrigo Caravielo</t>
  </si>
  <si>
    <t>767d2265-5cd2-42cb-88d8-29eaf00c3f43</t>
  </si>
  <si>
    <t>Leandro Fernandes</t>
  </si>
  <si>
    <t>3c312dcc-17ce-414d-9796-f17e1c376742</t>
  </si>
  <si>
    <t>Gustavo Machado</t>
  </si>
  <si>
    <t>d546d859-7b5c-4987-b12e-641955db4058</t>
  </si>
  <si>
    <t>BORIS ALVES MILHO SAENZ</t>
  </si>
  <si>
    <t>9d2ab93c-bb9d-46ae-8759-dad2503ca959</t>
  </si>
  <si>
    <t>SERGIO RICARDO ZUPPO</t>
  </si>
  <si>
    <t>e7fccbc3-507d-40a8-81a2-90d7311266a5</t>
  </si>
  <si>
    <t>Gabriel Souza Mendes</t>
  </si>
  <si>
    <t>283c16e6-742a-4777-938e-683a4d62a481</t>
  </si>
  <si>
    <t>José Garcia de Souza</t>
  </si>
  <si>
    <t>f36a657e-e2c8-4ef4-8314-a4751e27b861</t>
  </si>
  <si>
    <t>Valeriano Leão</t>
  </si>
  <si>
    <t>d76c9f2a-6f61-4d66-9b2f-6da064910b82</t>
  </si>
  <si>
    <t>Caio Carbone Gomes de Souza</t>
  </si>
  <si>
    <t>e03ed6fd-5f64-4192-8647-67987fb1169d</t>
  </si>
  <si>
    <t>Felipe keith makino</t>
  </si>
  <si>
    <t>513a1d1b-b59f-4ed0-862c-aaf47daa172a</t>
  </si>
  <si>
    <t>João Paulo Cardoso Barbosa</t>
  </si>
  <si>
    <t>9dfe20e5-f859-4eec-a7b1-4558d6df0094</t>
  </si>
  <si>
    <t>PLO/NLH DEALER´S CHOICE PIJAMA</t>
  </si>
  <si>
    <t>26/09/2026 23:00</t>
  </si>
  <si>
    <t>AÇÕES:</t>
  </si>
  <si>
    <t>REENTRADA</t>
  </si>
  <si>
    <t>Fabio Goto</t>
  </si>
  <si>
    <t>63a642ca-91ba-4c3a-b6c2-0db0eae2dfeb</t>
  </si>
  <si>
    <t>Kaio magaiva de Oliveira Eloi</t>
  </si>
  <si>
    <t>9269667b-23b4-4c7a-a342-599549965199</t>
  </si>
  <si>
    <t>Marcelo Naoki Matsuo</t>
  </si>
  <si>
    <t>6db3cd90-538e-42df-b771-ea66342e5a08</t>
  </si>
  <si>
    <t>Eduardo Isao Kishiyama</t>
  </si>
  <si>
    <t>ee08c7d8-ff1e-4180-8ea6-b202f464d19c</t>
  </si>
  <si>
    <t>Guilherme Ferreira de Godoi</t>
  </si>
  <si>
    <t>211ea831-a5b9-4dae-9f38-0d603a9ad8b1</t>
  </si>
  <si>
    <t>Karl Max Ferraz dos Santos</t>
  </si>
  <si>
    <t>2571f4a0-5edc-42f4-be2e-1661166a86f1</t>
  </si>
  <si>
    <t>Lucas Calixto</t>
  </si>
  <si>
    <t>ec2f6982-4907-42f6-8832-b590217eb46c</t>
  </si>
  <si>
    <t>Marco Antonio Alves Guimaraes</t>
  </si>
  <si>
    <t>4adc793d-1cf7-441f-a24c-c018dc4f395c</t>
  </si>
  <si>
    <t>Otávio Dezzotti Júnior</t>
  </si>
  <si>
    <t>bbb1c93c-b4e6-4da7-8a3a-4e364f3e290e</t>
  </si>
  <si>
    <t>3a Etapa - Main Event SPT · Dia Final</t>
  </si>
  <si>
    <t>27/09/2026 17:00</t>
  </si>
  <si>
    <t>Ranking Main Event SPT</t>
  </si>
  <si>
    <t>CARLOS CORDOBA</t>
  </si>
  <si>
    <t>913f6d16-ddf5-4cda-8238-543518d89ca8</t>
  </si>
  <si>
    <t>Caio falopa ozawa</t>
  </si>
  <si>
    <t>3dddc23c-4a97-425c-b1a9-6d8a76406e39</t>
  </si>
  <si>
    <t>Thiago dos Santos Souza</t>
  </si>
  <si>
    <t>851cda3a-3b0b-40c0-9aca-722d56040e85</t>
  </si>
  <si>
    <t>HELISSON DE CARVALHO SILVA</t>
  </si>
  <si>
    <t>e8196756-4d61-4d4d-b2d5-d579440827e6</t>
  </si>
  <si>
    <t>Vitor Vanderlei Mesquita</t>
  </si>
  <si>
    <t>6f69ebf1-d59e-42bd-92b6-bec7815d910c</t>
  </si>
  <si>
    <t>Jimmi Pereira Shyba</t>
  </si>
  <si>
    <t>96c81f43-f2ec-48d6-9107-15176b311966</t>
  </si>
  <si>
    <t>Anderson da Rocha Mendes</t>
  </si>
  <si>
    <t>5f0bd65d-16fa-43d0-a4bb-07dc28bca196</t>
  </si>
  <si>
    <t>Guilherme de Morais</t>
  </si>
  <si>
    <t>d86bf9b6-1b2c-4bc0-b432-bb0f3a3ced3d</t>
  </si>
  <si>
    <t>Luiz Phillippe Gomes Rubini</t>
  </si>
  <si>
    <t>1a726f4f-ad0a-42e2-9e5e-6a1d731ac357</t>
  </si>
  <si>
    <t>Alacir Imidio da Silva</t>
  </si>
  <si>
    <t>42fe41c3-8217-427a-995b-154fc02b7bd5</t>
  </si>
  <si>
    <t>Filipe Riva</t>
  </si>
  <si>
    <t>ca25003f-66b4-402f-9bf5-b001fccc7530</t>
  </si>
  <si>
    <t>Thiago Emanuel Simões dos Santos</t>
  </si>
  <si>
    <t>ea1ceaf5-4400-4e31-b64f-c2d227a3ec60</t>
  </si>
  <si>
    <t>Ayupe Godoi</t>
  </si>
  <si>
    <t>eac371a4-174b-4429-91af-6d7925dc0666</t>
  </si>
  <si>
    <t>Roberto Carlos Pace do Nascimento</t>
  </si>
  <si>
    <t>9d581016-7603-4fda-a19e-ba87616f2d4a</t>
  </si>
  <si>
    <t>Emerson Rocha Sheik</t>
  </si>
  <si>
    <t>4f8db38e-463b-4615-b2f6-442791aca77b</t>
  </si>
  <si>
    <t>LEONARDO DURANTE DOMINGUES</t>
  </si>
  <si>
    <t>73facfa3-14a7-48eb-be0f-c0c0f5279f00</t>
  </si>
  <si>
    <t>PAULO KAWAKAMI</t>
  </si>
  <si>
    <t>1ce52700-8bc7-4eaf-99fa-b77235dc9122</t>
  </si>
  <si>
    <t>Ivan Jose Minha</t>
  </si>
  <si>
    <t>d42364fa-5788-44ab-a132-d54fdcd1d5d9</t>
  </si>
  <si>
    <t>Jeferson Costa Ribeiro</t>
  </si>
  <si>
    <t>febcb9af-9414-40a5-8156-8a605092e32e</t>
  </si>
  <si>
    <t>HERCULES LEANDRO LUTKUS</t>
  </si>
  <si>
    <t>c750e26d-bdeb-4bff-9b9a-e7a667b62127</t>
  </si>
  <si>
    <t>Caio soler</t>
  </si>
  <si>
    <t>9d16222d-96ec-4ec6-9842-3af99347bbd6</t>
  </si>
  <si>
    <t>Bruno canato Lorenzeti</t>
  </si>
  <si>
    <t>cb4f2229-2801-49ee-b12f-724b8b6b03bf</t>
  </si>
  <si>
    <t>Jose Joaquin Melgar Mendoza</t>
  </si>
  <si>
    <t>afbf22a9-4b11-43ac-8086-d6e8c374d7bc</t>
  </si>
  <si>
    <t>Osvaldo Gonzaga de Souza Junior</t>
  </si>
  <si>
    <t>2044d729-1cf6-45a8-989f-fd83eb749331</t>
  </si>
  <si>
    <t>Rodrigo Ribeiro Rosa</t>
  </si>
  <si>
    <t>041cc34e-ffe3-4902-8d35-2f779456f81b</t>
  </si>
  <si>
    <t>Luiz Felipe iotti</t>
  </si>
  <si>
    <t>e0d02ef1-9bca-4369-9fc5-98f4eefb1b92</t>
  </si>
  <si>
    <t>Manoel Fernando de Oliveira</t>
  </si>
  <si>
    <t>5a574730-7e12-42d7-b633-c1c2ad1e4252</t>
  </si>
  <si>
    <t>Wagner buzato</t>
  </si>
  <si>
    <t>a88a4e87-64db-4253-8dc0-1765dc6b3639</t>
  </si>
  <si>
    <t>Wellington Leno</t>
  </si>
  <si>
    <t>075b2555-6243-40f3-8d9c-755ca0c1021d</t>
  </si>
  <si>
    <t>Valter Marcelino Junior</t>
  </si>
  <si>
    <t>cc5af198-38f4-49e2-8145-264735d3199d</t>
  </si>
  <si>
    <t>THIAGO LUIS DE OLIVEIRA</t>
  </si>
  <si>
    <t>8b5f20c5-486f-43b1-a990-8bf64e109df4</t>
  </si>
  <si>
    <t>Carlos Ozawa Junior</t>
  </si>
  <si>
    <t>bfba3853-b325-4a6c-8613-2ac55df8037f</t>
  </si>
  <si>
    <t>Denise Caraviello</t>
  </si>
  <si>
    <t>69d964b7-6adf-4d40-8096-4d614257f6f0</t>
  </si>
  <si>
    <t>Afrânio Panzarin</t>
  </si>
  <si>
    <t>6a4e9608-67ed-4275-aded-c274f396b4a8</t>
  </si>
  <si>
    <t>Alisson Coutinho Cardoso Machado</t>
  </si>
  <si>
    <t>975f7803-0adb-4c06-b0ba-c9d61f0b5ffe</t>
  </si>
  <si>
    <t>Altino Nunes Teixeira Neto</t>
  </si>
  <si>
    <t>ebe95042-a0ff-4e1d-a28b-594f0587b31c</t>
  </si>
  <si>
    <t>Amadeus Doria Alves Pereira</t>
  </si>
  <si>
    <t>53bc39e3-a5ce-45d0-af4a-cfc0457ed064</t>
  </si>
  <si>
    <t>Américo Eduardo Ferreira Vieira</t>
  </si>
  <si>
    <t>73d2c2dc-bb21-4e9c-ad85-1b71cff4117a</t>
  </si>
  <si>
    <t>Anderson Felipe Napolitano</t>
  </si>
  <si>
    <t>cc2bc415-71c7-4579-bcbf-ee0a325efbf8</t>
  </si>
  <si>
    <t>Anderson Goes da Silva</t>
  </si>
  <si>
    <t>a59c088d-bf0f-4019-b8e9-6526642347f6</t>
  </si>
  <si>
    <t>André Gama Toledo Barberio</t>
  </si>
  <si>
    <t>75352030-2961-4b88-bc29-46192d0c6a23</t>
  </si>
  <si>
    <t>Arthur Gutierrez Andrade</t>
  </si>
  <si>
    <t>b33f05af-9ab1-4dba-8756-e5514ee2da14</t>
  </si>
  <si>
    <t>Artur Anosov</t>
  </si>
  <si>
    <t>8f65756c-3201-4424-a778-9a97bbb3a426</t>
  </si>
  <si>
    <t>Bernardo Badalotti Tavares</t>
  </si>
  <si>
    <t>752c05c9-dc24-4031-84b9-35aaec64c6f9</t>
  </si>
  <si>
    <t>Bruno da Paixão Francisco</t>
  </si>
  <si>
    <t>582a5d8b-bebd-47b3-a7e0-b8963781abc7</t>
  </si>
  <si>
    <t>bruno de castro pereira</t>
  </si>
  <si>
    <t>5dac493a-8149-4d02-a30d-4c97ec72df21</t>
  </si>
  <si>
    <t>Bruno vituri dantas</t>
  </si>
  <si>
    <t>0a553b8b-8bd9-4b27-8cec-29153f7a325e</t>
  </si>
  <si>
    <t>Calyel Betezek Baroni</t>
  </si>
  <si>
    <t>91efe63b-929a-44cd-929b-c28bd025ecb2</t>
  </si>
  <si>
    <t>Carlos Augusto Ferreira dos Santos</t>
  </si>
  <si>
    <t>3fbb1e21-912e-4faa-bcc1-ad0b170c1a8c</t>
  </si>
  <si>
    <t>Cleanto ronildo da Costa</t>
  </si>
  <si>
    <t>e4b7d3cd-0ba1-430f-9ec3-1a522d2679ed</t>
  </si>
  <si>
    <t>Cláudio Naoki doi kano</t>
  </si>
  <si>
    <t>8d88452a-8a34-4e2e-beec-99eeea77d6c6</t>
  </si>
  <si>
    <t>Cristiano colonisio</t>
  </si>
  <si>
    <t>d5c2bb49-9d2f-4f4c-b9cc-473bfdd14a7e</t>
  </si>
  <si>
    <t>Daniel Alves Coelho</t>
  </si>
  <si>
    <t>32c59f6b-2a53-4487-8c3a-044b932d458d</t>
  </si>
  <si>
    <t>Danilo Burle Carneiro de Abreu</t>
  </si>
  <si>
    <t>7c78094b-29b9-4316-b8c3-0636cd2fde19</t>
  </si>
  <si>
    <t>Danilo Garcia</t>
  </si>
  <si>
    <t>8d6f6031-d116-44c8-a97b-e383913dac89</t>
  </si>
  <si>
    <t>Denilson Eiler</t>
  </si>
  <si>
    <t>f1ee6764-7772-48d3-94a7-df5a5a57d456</t>
  </si>
  <si>
    <t>Elizabeth Cristina Rocha dos Santos</t>
  </si>
  <si>
    <t>96cd83c4-7c4e-44b9-9874-17f3ee4bf295</t>
  </si>
  <si>
    <t>ELTON TSUCHIDA</t>
  </si>
  <si>
    <t>6ce2ec84-2755-47c4-ab1f-d95d70615927</t>
  </si>
  <si>
    <t>Everton Camara Pequeno</t>
  </si>
  <si>
    <t>2943ac4e-cc5f-4fd8-99f4-1d41209d023d</t>
  </si>
  <si>
    <t>Felipe mariano borboni</t>
  </si>
  <si>
    <t>3be75c35-7bec-4c93-aac2-842e82d9c92c</t>
  </si>
  <si>
    <t>Felipe Yhara de Andrade</t>
  </si>
  <si>
    <t>9d7e6a02-04eb-490f-b949-0aaf3109b839</t>
  </si>
  <si>
    <t>FERNANDO AUGUSTO HERNANDES MACEDO DE CASTRO</t>
  </si>
  <si>
    <t>65325020-b1cf-4eef-84e0-11dcef2b4a50</t>
  </si>
  <si>
    <t>FRANCISCO AUGUSTO SCARDUA COELHO</t>
  </si>
  <si>
    <t>bb7481fb-6cce-4f3d-a227-310f6e91741e</t>
  </si>
  <si>
    <t>Gabriel Dezzotti</t>
  </si>
  <si>
    <t>91af6c45-b7e4-4889-9009-fbfeec1037b3</t>
  </si>
  <si>
    <t>Gabriel Dos Santos Silva</t>
  </si>
  <si>
    <t>eddf5ec4-a5a0-469b-8f98-43c73c943864</t>
  </si>
  <si>
    <t>Gabriel Paludo Carmona</t>
  </si>
  <si>
    <t>6315c11f-46d4-474e-bf01-4b4f65087198</t>
  </si>
  <si>
    <t>German Dario Vargas Camelo</t>
  </si>
  <si>
    <t>74b60226-9499-4f81-8830-7f51959c3f11</t>
  </si>
  <si>
    <t>Gledson Rogério Gomes</t>
  </si>
  <si>
    <t>4d7fb152-9114-465a-b537-629941e3b294</t>
  </si>
  <si>
    <t>Guilherme Augusto Barros andrade</t>
  </si>
  <si>
    <t>711ddbce-9792-4590-acde-57439d2f605e</t>
  </si>
  <si>
    <t>Guilherme Chiodi Gomes</t>
  </si>
  <si>
    <t>26d6da67-82b1-436d-9e79-00f1790f75cb</t>
  </si>
  <si>
    <t>Gustavo unfer de moura</t>
  </si>
  <si>
    <t>61933750-0a3c-46e6-ac54-43199e9ce9f7</t>
  </si>
  <si>
    <t>Hansen uriel pachon hernandez</t>
  </si>
  <si>
    <t>a0e98fd2-4fb0-4d7b-8fd1-f2f6061197a7</t>
  </si>
  <si>
    <t>Henrique Perez</t>
  </si>
  <si>
    <t>343b93f0-3b2c-4c54-9462-d2e17851fd45</t>
  </si>
  <si>
    <t>Iara Fernandes Brandão</t>
  </si>
  <si>
    <t>0fa3e9c8-6d12-429f-b711-d86542f9828b</t>
  </si>
  <si>
    <t>Igor ideguchi faria</t>
  </si>
  <si>
    <t>2442ad47-ca05-4042-a18b-22d79a827b3f</t>
  </si>
  <si>
    <t>Ivan leite rosa</t>
  </si>
  <si>
    <t>4630488d-661e-450e-939f-15269c12e00f</t>
  </si>
  <si>
    <t>Ivan Zoccaratto Nuzzo</t>
  </si>
  <si>
    <t>06e664e9-7bed-4e67-b15a-5d911028e793</t>
  </si>
  <si>
    <t>JEFERSON CRYSTIAN CECCON DOS SANTOS</t>
  </si>
  <si>
    <t>40946d10-4edf-4f32-b388-a0a5f6bda91d</t>
  </si>
  <si>
    <t>joao victor ferreira lima</t>
  </si>
  <si>
    <t>2658225b-98ac-4f6c-9e8f-3ded3b9022b5</t>
  </si>
  <si>
    <t>Jorge Luís Simões dos santos</t>
  </si>
  <si>
    <t>2e82a3a7-f5f9-471c-a84a-5cbaa2fd6827</t>
  </si>
  <si>
    <t>Jose Carlos Mendes</t>
  </si>
  <si>
    <t>5efd2dfd-13e9-4ec1-ac42-cb098fff7647</t>
  </si>
  <si>
    <t>Kainan da silva nava</t>
  </si>
  <si>
    <t>58950051-ef19-4e0d-91a3-28ca006ca2af</t>
  </si>
  <si>
    <t>Leandro Monteiro da Costa Chaves</t>
  </si>
  <si>
    <t>7d7c7b4e-b7fe-471a-bb32-2d0d9d248f98</t>
  </si>
  <si>
    <t>LEONARDO AUGUSTO CHISTE LIBANIO ALVIM</t>
  </si>
  <si>
    <t>8899772a-568e-42c2-982e-e4b27c655afd</t>
  </si>
  <si>
    <t>Leonardo kumakura</t>
  </si>
  <si>
    <t>79501811-39bc-4ac1-8bb4-743f023459b5</t>
  </si>
  <si>
    <t>Leonardo Zupo Dama Santos</t>
  </si>
  <si>
    <t>2d68dda5-b5f7-40f9-b0e8-031ae71cbfb8</t>
  </si>
  <si>
    <t>Marcelo faria</t>
  </si>
  <si>
    <t>4836d3b5-647e-458e-acc2-5968ac1e1baf</t>
  </si>
  <si>
    <t>Marcelo Rodrigues de Souza</t>
  </si>
  <si>
    <t>280089c1-8235-4b97-a9b4-bc528b7edcf4</t>
  </si>
  <si>
    <t>Marcos Bonato</t>
  </si>
  <si>
    <t>8be5c323-65b8-4fb7-b41d-c2db0a6d3bf2</t>
  </si>
  <si>
    <t>Matheus Maia</t>
  </si>
  <si>
    <t>8c26b9aa-5ee1-4dd3-8b21-c1be40119456</t>
  </si>
  <si>
    <t>Michel Santana Duarte</t>
  </si>
  <si>
    <t>83e7ec2b-e516-4162-a128-4728384bbcb7</t>
  </si>
  <si>
    <t>Nicolas de Moraes Camargo</t>
  </si>
  <si>
    <t>f3ae2f68-75c5-4216-a178-c8781a981134</t>
  </si>
  <si>
    <t>Orlando Souza Nunes</t>
  </si>
  <si>
    <t>cd30b063-8243-4482-a80c-56b77f084abd</t>
  </si>
  <si>
    <t>Paulo Renato Nunes</t>
  </si>
  <si>
    <t>eccb83a0-8725-4903-9707-d575c1aadabf</t>
  </si>
  <si>
    <t>PEDRO HENRIQUE RIBAS DOS SANTOS</t>
  </si>
  <si>
    <t>71f401bc-b1f2-431b-b04c-6a23bc0a2cd0</t>
  </si>
  <si>
    <t>Rafael Francisco Rodrigues</t>
  </si>
  <si>
    <t>bfe74e09-7adf-4269-a4b3-07c372c53b49</t>
  </si>
  <si>
    <t>Reinaldo José Ferreira</t>
  </si>
  <si>
    <t>c73c1e5a-baf6-40a4-898f-bcb830d4378e</t>
  </si>
  <si>
    <t>renato puertas garcia</t>
  </si>
  <si>
    <t>d6ab4bee-64d9-40a2-8d67-5a1731310e0c</t>
  </si>
  <si>
    <t>Rodrigo Pini Nader</t>
  </si>
  <si>
    <t>166c74d7-5e22-46e4-ba30-00a729be0d47</t>
  </si>
  <si>
    <t>Ryan Manoel de Lopes Calixto</t>
  </si>
  <si>
    <t>f64c3800-1102-4348-8545-f980191b6b3e</t>
  </si>
  <si>
    <t>Sergio Luiz Ciampi Filho</t>
  </si>
  <si>
    <t>0222ec60-bd8d-40f9-8e79-c52f92377f93</t>
  </si>
  <si>
    <t>Talita Morais de araujo</t>
  </si>
  <si>
    <t>88a271c1-41b1-44af-b006-3e46c3e467e7</t>
  </si>
  <si>
    <t>Victor kiyoshi kawai shinozuka</t>
  </si>
  <si>
    <t>66d2a187-1b2b-40e2-b0bb-78d62eb9f01b</t>
  </si>
  <si>
    <t>Victor Sthevam Moreira de Lilo</t>
  </si>
  <si>
    <t>26a23eca-4a45-4788-be29-6487642c942b</t>
  </si>
  <si>
    <t>VITOR GIOVANNI COMINATO DE AMORIM</t>
  </si>
  <si>
    <t>a89cb371-4a1b-4ae2-9b9a-a18f6f5bb33e</t>
  </si>
  <si>
    <t>Vitor Martins Buzzanelli Melos</t>
  </si>
  <si>
    <t>90528ccd-fba6-4fca-8dbb-8913ddd603a7</t>
  </si>
  <si>
    <t>Washington</t>
  </si>
  <si>
    <t>1128eb59-3e27-4eb3-a8f1-361839d8ecf4</t>
  </si>
  <si>
    <t>Wesllen Leme</t>
  </si>
  <si>
    <t>5e24dcea-f4f5-4d64-81d1-7af43b1a400e</t>
  </si>
  <si>
    <t>SECOND CHANCE</t>
  </si>
  <si>
    <t>27/09/2026 18:00</t>
  </si>
  <si>
    <t>Brayan eduardo gonzalez moreno</t>
  </si>
  <si>
    <t>c2deb073-ce9a-4396-80c2-6079c0b773f1</t>
  </si>
  <si>
    <t>DANIELA BUZELLI DE OLIVEIRA</t>
  </si>
  <si>
    <t>1eea57c1-e6f3-4996-857d-830550b79f86</t>
  </si>
  <si>
    <t>Paulo Cesar Kachan</t>
  </si>
  <si>
    <t>c7bf4604-9857-4925-9835-2a85a45de056</t>
  </si>
  <si>
    <t>Juliana Anacoretto de Oliveira</t>
  </si>
  <si>
    <t>48607409-8273-422d-91b6-3287da4c43c2</t>
  </si>
  <si>
    <t>Fabio Martins Almeida</t>
  </si>
  <si>
    <t>63e6ea24-222a-4508-9f2b-f5c5c204921e</t>
  </si>
  <si>
    <t>Mayara Pires ornellas</t>
  </si>
  <si>
    <t>15dc1adf-9a2c-4b38-a7da-38668168e7d0</t>
  </si>
  <si>
    <t>Mário Quintanilha</t>
  </si>
  <si>
    <t>735ef3e9-bca7-4aa0-9b9f-4537959185cb</t>
  </si>
  <si>
    <t>Luciano Tiengo</t>
  </si>
  <si>
    <t>5d5011d5-6278-41ab-a66c-a365e11ba5f6</t>
  </si>
  <si>
    <t>João Pedro de Almeida Santos</t>
  </si>
  <si>
    <t>d254c279-5f5b-4b62-9b9e-bd7e42f548ed</t>
  </si>
  <si>
    <t>Paulo Santos</t>
  </si>
  <si>
    <t>c4bfe083-318e-424f-8d6f-01e98944ad24</t>
  </si>
  <si>
    <t>José Hebert Méndez Arandia</t>
  </si>
  <si>
    <t>212b138e-4481-4063-8368-9acbcf5ec79a</t>
  </si>
  <si>
    <t>Thiago dos Santos</t>
  </si>
  <si>
    <t>43d95faa-9705-456d-ad3a-35635783ce68</t>
  </si>
  <si>
    <t>Jessica Camila grazino dos Santos zein</t>
  </si>
  <si>
    <t>ed0afc92-0127-476e-87c7-471508c64d5d</t>
  </si>
  <si>
    <t>HIGH ROLLER 50K</t>
  </si>
  <si>
    <t>27/09/2026 19:00</t>
  </si>
  <si>
    <t>OMAHA DEALER´S CHOICE</t>
  </si>
  <si>
    <t>27/09/2026 22:00</t>
  </si>
  <si>
    <t>RAFAEL  MONTEIRO ALVES DA SILVA</t>
  </si>
  <si>
    <t>beec5cda-c855-4c57-b695-bb3c67e71e2f</t>
  </si>
  <si>
    <t>SPT - 3a Etapa — Ranking consolidado</t>
  </si>
  <si>
    <t>Pontos calculados pela mesma regra do ranking do sistema; a coluna de cada torneio puxa da aba do torneio.</t>
  </si>
  <si>
    <t>Total</t>
  </si>
  <si>
    <t>Torneios</t>
  </si>
  <si>
    <t>PLO-NLH DEALER´S CHOICE PIJAMA</t>
  </si>
  <si>
    <t>Main Event SPT - Dia Final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</si>
</sst>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#,##0.00;\-#,##0.00;&quot;-&quot;"/>
  </numFmts>
  <fonts count="26">
    <font>
      <sz val="11"/>
      <color theme="1"/>
      <name val="Calibri"/>
      <charset val="134"/>
      <scheme val="minor"/>
    </font>
    <font>
      <b/>
      <sz val="13"/>
      <name val="Arial"/>
      <charset val="134"/>
    </font>
    <font>
      <i/>
      <sz val="11"/>
      <color rgb="FF666666"/>
      <name val="Arial"/>
      <charset val="134"/>
    </font>
    <font>
      <b/>
      <sz val="11"/>
      <color rgb="FFFFFFFF"/>
      <name val="Arial"/>
      <charset val="134"/>
    </font>
    <font>
      <sz val="11"/>
      <name val="Arial"/>
      <charset val="134"/>
    </font>
    <font>
      <b/>
      <sz val="11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3A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4" fillId="0" borderId="1" xfId="0" applyFont="1" applyBorder="1"/>
    <xf numFmtId="4" fontId="5" fillId="0" borderId="1" xfId="0" applyNumberFormat="1" applyFont="1" applyBorder="1"/>
    <xf numFmtId="180" fontId="4" fillId="0" borderId="1" xfId="0" applyNumberFormat="1" applyFont="1" applyBorder="1"/>
    <xf numFmtId="0" fontId="5" fillId="0" borderId="0" xfId="0" applyFont="1"/>
    <xf numFmtId="4" fontId="5" fillId="0" borderId="0" xfId="0" applyNumberFormat="1" applyFont="1"/>
    <xf numFmtId="0" fontId="4" fillId="0" borderId="0" xfId="0" applyFont="1"/>
    <xf numFmtId="4" fontId="4" fillId="0" borderId="0" xfId="0" applyNumberFormat="1" applyFont="1"/>
    <xf numFmtId="4" fontId="4" fillId="0" borderId="1" xfId="0" applyNumberFormat="1" applyFont="1" applyBorder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workbookViewId="0">
      <pane ySplit="7" topLeftCell="A8" activePane="bottomLeft" state="frozen"/>
      <selection/>
      <selection pane="bottomLeft" activeCell="E3" sqref="E3:G4"/>
    </sheetView>
  </sheetViews>
  <sheetFormatPr defaultColWidth="9" defaultRowHeight="14.4" outlineLevelCol="6"/>
  <cols>
    <col min="1" max="1" width="10" customWidth="1"/>
    <col min="2" max="2" width="38" customWidth="1"/>
    <col min="3" max="3" width="14" customWidth="1"/>
    <col min="4" max="4" width="38" hidden="1" customWidth="1"/>
    <col min="5" max="5" width="13.5555555555556" customWidth="1"/>
  </cols>
  <sheetData>
    <row r="1" ht="16.8" spans="1:7">
      <c r="A1" s="1" t="s">
        <v>0</v>
      </c>
    </row>
    <row r="2" spans="1:7">
      <c r="A2" s="9" t="s">
        <v>1</v>
      </c>
      <c r="B2" s="11" t="s">
        <v>2</v>
      </c>
    </row>
    <row r="3" spans="1:7">
      <c r="A3" s="9" t="s">
        <v>3</v>
      </c>
      <c r="B3" s="12">
        <v>2000</v>
      </c>
      <c r="F3" t="s">
        <v>4</v>
      </c>
      <c r="G3" t="s">
        <v>5</v>
      </c>
    </row>
    <row r="4" spans="1:7">
      <c r="A4" s="9" t="s">
        <v>6</v>
      </c>
      <c r="B4" s="11">
        <v>30</v>
      </c>
      <c r="E4" t="s">
        <v>7</v>
      </c>
      <c r="F4">
        <v>30</v>
      </c>
      <c r="G4">
        <v>36</v>
      </c>
    </row>
    <row r="5" spans="1:7">
      <c r="A5" s="9" t="s">
        <v>8</v>
      </c>
      <c r="B5" s="11" t="s">
        <v>9</v>
      </c>
    </row>
    <row r="6" spans="1:7">
      <c r="A6" s="9" t="s">
        <v>10</v>
      </c>
      <c r="B6" s="11">
        <v>1</v>
      </c>
    </row>
    <row r="7" spans="1:7">
      <c r="A7" s="3" t="s">
        <v>11</v>
      </c>
      <c r="B7" s="3" t="s">
        <v>12</v>
      </c>
      <c r="C7" s="3" t="s">
        <v>13</v>
      </c>
      <c r="D7" s="3" t="s">
        <v>14</v>
      </c>
    </row>
    <row r="8" spans="1:7">
      <c r="A8" s="4">
        <v>1</v>
      </c>
      <c r="B8" s="6" t="s">
        <v>15</v>
      </c>
      <c r="C8" s="13">
        <v>1200</v>
      </c>
      <c r="D8" s="6" t="s">
        <v>16</v>
      </c>
    </row>
    <row r="9" spans="1:7">
      <c r="A9" s="4">
        <v>2</v>
      </c>
      <c r="B9" s="6" t="s">
        <v>17</v>
      </c>
      <c r="C9" s="13">
        <v>960</v>
      </c>
      <c r="D9" s="6" t="s">
        <v>18</v>
      </c>
    </row>
    <row r="10" spans="1:7">
      <c r="A10" s="4">
        <v>3</v>
      </c>
      <c r="B10" s="6" t="s">
        <v>19</v>
      </c>
      <c r="C10" s="13">
        <v>840</v>
      </c>
      <c r="D10" s="6" t="s">
        <v>20</v>
      </c>
    </row>
    <row r="11" spans="1:7">
      <c r="A11" s="4">
        <v>4</v>
      </c>
      <c r="B11" s="6" t="s">
        <v>21</v>
      </c>
      <c r="C11" s="13">
        <v>720</v>
      </c>
      <c r="D11" s="6" t="s">
        <v>22</v>
      </c>
    </row>
    <row r="12" spans="1:7">
      <c r="A12" s="4">
        <v>5</v>
      </c>
      <c r="B12" s="6" t="s">
        <v>23</v>
      </c>
      <c r="C12" s="13">
        <v>600</v>
      </c>
      <c r="D12" s="6" t="s">
        <v>24</v>
      </c>
    </row>
    <row r="13" spans="1:7">
      <c r="A13" s="4">
        <v>6</v>
      </c>
      <c r="B13" s="6" t="s">
        <v>25</v>
      </c>
      <c r="C13" s="13">
        <v>540</v>
      </c>
      <c r="D13" s="6" t="s">
        <v>26</v>
      </c>
    </row>
    <row r="14" spans="1:7">
      <c r="A14" s="4">
        <v>7</v>
      </c>
      <c r="B14" s="6" t="s">
        <v>27</v>
      </c>
      <c r="C14" s="13">
        <v>480</v>
      </c>
      <c r="D14" s="6" t="s">
        <v>28</v>
      </c>
    </row>
    <row r="15" spans="1:7">
      <c r="A15" s="4">
        <v>8</v>
      </c>
      <c r="B15" s="6" t="s">
        <v>29</v>
      </c>
      <c r="C15" s="13">
        <v>420</v>
      </c>
      <c r="D15" s="6" t="s">
        <v>30</v>
      </c>
    </row>
    <row r="16" spans="1:7">
      <c r="A16" s="4">
        <v>9</v>
      </c>
      <c r="B16" s="6" t="s">
        <v>31</v>
      </c>
      <c r="C16" s="13">
        <v>360</v>
      </c>
      <c r="D16" s="6" t="s">
        <v>32</v>
      </c>
    </row>
    <row r="17" spans="1:4">
      <c r="A17" s="4">
        <v>10</v>
      </c>
      <c r="B17" s="6" t="s">
        <v>33</v>
      </c>
      <c r="C17" s="13">
        <v>300</v>
      </c>
      <c r="D17" s="6" t="s">
        <v>34</v>
      </c>
    </row>
    <row r="18" spans="1:4">
      <c r="A18" s="4">
        <v>11</v>
      </c>
      <c r="B18" s="6" t="s">
        <v>35</v>
      </c>
      <c r="C18" s="13">
        <v>10</v>
      </c>
      <c r="D18" s="6" t="s">
        <v>36</v>
      </c>
    </row>
    <row r="19" spans="1:4">
      <c r="A19" s="4">
        <v>12</v>
      </c>
      <c r="B19" s="6" t="s">
        <v>37</v>
      </c>
      <c r="C19" s="13">
        <v>10</v>
      </c>
      <c r="D19" s="6" t="s">
        <v>38</v>
      </c>
    </row>
    <row r="20" spans="1:4">
      <c r="A20" s="4">
        <v>13</v>
      </c>
      <c r="B20" s="6" t="s">
        <v>39</v>
      </c>
      <c r="C20" s="13">
        <v>10</v>
      </c>
      <c r="D20" s="6" t="s">
        <v>40</v>
      </c>
    </row>
    <row r="21" spans="1:4">
      <c r="A21" s="4">
        <v>14</v>
      </c>
      <c r="B21" s="6" t="s">
        <v>41</v>
      </c>
      <c r="C21" s="13">
        <v>10</v>
      </c>
      <c r="D21" s="6" t="s">
        <v>42</v>
      </c>
    </row>
    <row r="22" spans="1:4">
      <c r="A22" s="4">
        <v>15</v>
      </c>
      <c r="B22" s="6" t="s">
        <v>43</v>
      </c>
      <c r="C22" s="13">
        <v>10</v>
      </c>
      <c r="D22" s="6" t="s">
        <v>44</v>
      </c>
    </row>
    <row r="23" spans="1:4">
      <c r="A23" s="4">
        <v>16</v>
      </c>
      <c r="B23" s="6" t="s">
        <v>45</v>
      </c>
      <c r="C23" s="13">
        <v>10</v>
      </c>
      <c r="D23" s="6" t="s">
        <v>46</v>
      </c>
    </row>
    <row r="24" spans="1:4">
      <c r="A24" s="4">
        <v>17</v>
      </c>
      <c r="B24" s="6" t="s">
        <v>47</v>
      </c>
      <c r="C24" s="13">
        <v>10</v>
      </c>
      <c r="D24" s="6" t="s">
        <v>48</v>
      </c>
    </row>
    <row r="25" spans="1:4">
      <c r="A25" s="4">
        <v>18</v>
      </c>
      <c r="B25" s="6" t="s">
        <v>49</v>
      </c>
      <c r="C25" s="13">
        <v>10</v>
      </c>
      <c r="D25" s="6" t="s">
        <v>50</v>
      </c>
    </row>
    <row r="26" spans="1:4">
      <c r="A26" s="4">
        <v>19</v>
      </c>
      <c r="B26" s="6" t="s">
        <v>51</v>
      </c>
      <c r="C26" s="13">
        <v>10</v>
      </c>
      <c r="D26" s="6" t="s">
        <v>52</v>
      </c>
    </row>
    <row r="27" spans="1:4">
      <c r="A27" s="4">
        <v>20</v>
      </c>
      <c r="B27" s="6" t="s">
        <v>53</v>
      </c>
      <c r="C27" s="13">
        <v>10</v>
      </c>
      <c r="D27" s="6" t="s">
        <v>54</v>
      </c>
    </row>
    <row r="28" spans="1:4">
      <c r="A28" s="4">
        <v>21</v>
      </c>
      <c r="B28" s="6" t="s">
        <v>55</v>
      </c>
      <c r="C28" s="13">
        <v>10</v>
      </c>
      <c r="D28" s="6" t="s">
        <v>56</v>
      </c>
    </row>
    <row r="29" spans="1:4">
      <c r="A29" s="4">
        <v>22</v>
      </c>
      <c r="B29" s="6" t="s">
        <v>57</v>
      </c>
      <c r="C29" s="13">
        <v>10</v>
      </c>
      <c r="D29" s="6" t="s">
        <v>58</v>
      </c>
    </row>
    <row r="30" spans="1:4">
      <c r="A30" s="4">
        <v>23</v>
      </c>
      <c r="B30" s="6" t="s">
        <v>59</v>
      </c>
      <c r="C30" s="13">
        <v>10</v>
      </c>
      <c r="D30" s="6" t="s">
        <v>60</v>
      </c>
    </row>
    <row r="31" spans="1:4">
      <c r="A31" s="4">
        <v>24</v>
      </c>
      <c r="B31" s="6" t="s">
        <v>61</v>
      </c>
      <c r="C31" s="13">
        <v>10</v>
      </c>
      <c r="D31" s="6" t="s">
        <v>62</v>
      </c>
    </row>
    <row r="32" spans="1:4">
      <c r="A32" s="4">
        <v>25</v>
      </c>
      <c r="B32" s="6" t="s">
        <v>63</v>
      </c>
      <c r="C32" s="13">
        <v>10</v>
      </c>
      <c r="D32" s="6" t="s">
        <v>64</v>
      </c>
    </row>
    <row r="33" spans="1:4">
      <c r="A33" s="4">
        <v>26</v>
      </c>
      <c r="B33" s="6" t="s">
        <v>65</v>
      </c>
      <c r="C33" s="13">
        <v>10</v>
      </c>
      <c r="D33" s="6" t="s">
        <v>66</v>
      </c>
    </row>
    <row r="34" spans="1:4">
      <c r="A34" s="4">
        <v>27</v>
      </c>
      <c r="B34" s="6" t="s">
        <v>67</v>
      </c>
      <c r="C34" s="13">
        <v>10</v>
      </c>
      <c r="D34" s="6" t="s">
        <v>68</v>
      </c>
    </row>
    <row r="35" spans="1:4">
      <c r="A35" s="4">
        <v>28</v>
      </c>
      <c r="B35" s="6" t="s">
        <v>69</v>
      </c>
      <c r="C35" s="13">
        <v>10</v>
      </c>
      <c r="D35" s="6" t="s">
        <v>70</v>
      </c>
    </row>
    <row r="36" spans="1:4">
      <c r="A36" s="4">
        <v>29</v>
      </c>
      <c r="B36" s="6" t="s">
        <v>71</v>
      </c>
      <c r="C36" s="13">
        <v>10</v>
      </c>
      <c r="D36" s="6" t="s">
        <v>72</v>
      </c>
    </row>
    <row r="37" spans="1:4">
      <c r="A37" s="4">
        <v>30</v>
      </c>
      <c r="B37" s="6" t="s">
        <v>73</v>
      </c>
      <c r="C37" s="13">
        <v>10</v>
      </c>
      <c r="D37" s="6" t="s">
        <v>74</v>
      </c>
    </row>
    <row r="39" spans="1:4">
      <c r="B39" s="9" t="s">
        <v>75</v>
      </c>
      <c r="C39" s="10">
        <f>SUM(C8:C37)</f>
        <v>6620</v>
      </c>
    </row>
    <row r="40" spans="1:4">
      <c r="B40" s="2" t="s">
        <v>76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workbookViewId="0">
      <pane ySplit="7" topLeftCell="A8" activePane="bottomLeft" state="frozen"/>
      <selection/>
      <selection pane="bottomLeft" activeCell="E2" sqref="E2:G3"/>
    </sheetView>
  </sheetViews>
  <sheetFormatPr defaultColWidth="9" defaultRowHeight="14.4" outlineLevelCol="6"/>
  <cols>
    <col min="1" max="1" width="15.3333333333333" customWidth="1"/>
    <col min="2" max="2" width="38" customWidth="1"/>
    <col min="3" max="3" width="14" customWidth="1"/>
    <col min="4" max="4" width="38" hidden="1" customWidth="1"/>
    <col min="5" max="5" width="13.2222222222222" customWidth="1"/>
  </cols>
  <sheetData>
    <row r="1" ht="16.8" spans="1:7">
      <c r="A1" s="1" t="s">
        <v>77</v>
      </c>
    </row>
    <row r="2" spans="1:7">
      <c r="A2" s="9" t="s">
        <v>1</v>
      </c>
      <c r="B2" s="11" t="s">
        <v>78</v>
      </c>
      <c r="F2" t="s">
        <v>4</v>
      </c>
      <c r="G2" t="s">
        <v>5</v>
      </c>
    </row>
    <row r="3" spans="1:7">
      <c r="A3" s="9" t="s">
        <v>3</v>
      </c>
      <c r="B3" s="12">
        <v>800</v>
      </c>
      <c r="E3" t="s">
        <v>7</v>
      </c>
      <c r="F3">
        <v>19</v>
      </c>
      <c r="G3">
        <v>4</v>
      </c>
    </row>
    <row r="4" spans="1:7">
      <c r="A4" s="9" t="s">
        <v>6</v>
      </c>
      <c r="B4" s="11">
        <v>19</v>
      </c>
    </row>
    <row r="5" spans="1:7">
      <c r="A5" s="9" t="s">
        <v>8</v>
      </c>
      <c r="B5" s="11" t="s">
        <v>9</v>
      </c>
    </row>
    <row r="6" spans="1:7">
      <c r="A6" s="9" t="s">
        <v>10</v>
      </c>
      <c r="B6" s="11">
        <v>1</v>
      </c>
    </row>
    <row r="7" spans="1:7">
      <c r="A7" s="3" t="s">
        <v>11</v>
      </c>
      <c r="B7" s="3" t="s">
        <v>12</v>
      </c>
      <c r="C7" s="3" t="s">
        <v>13</v>
      </c>
      <c r="D7" s="3" t="s">
        <v>14</v>
      </c>
    </row>
    <row r="8" spans="1:7">
      <c r="A8" s="4">
        <v>1</v>
      </c>
      <c r="B8" s="6" t="s">
        <v>79</v>
      </c>
      <c r="C8" s="13">
        <v>690</v>
      </c>
      <c r="D8" s="6" t="s">
        <v>80</v>
      </c>
    </row>
    <row r="9" spans="1:7">
      <c r="A9" s="4">
        <v>2</v>
      </c>
      <c r="B9" s="6" t="s">
        <v>81</v>
      </c>
      <c r="C9" s="13">
        <v>552</v>
      </c>
      <c r="D9" s="6" t="s">
        <v>82</v>
      </c>
    </row>
    <row r="10" spans="1:7">
      <c r="A10" s="4">
        <v>3</v>
      </c>
      <c r="B10" s="6" t="s">
        <v>83</v>
      </c>
      <c r="C10" s="13">
        <v>483</v>
      </c>
      <c r="D10" s="6" t="s">
        <v>84</v>
      </c>
    </row>
    <row r="11" spans="1:7">
      <c r="A11" s="4">
        <v>4</v>
      </c>
      <c r="B11" s="6" t="s">
        <v>85</v>
      </c>
      <c r="C11" s="13">
        <v>414</v>
      </c>
      <c r="D11" s="6" t="s">
        <v>86</v>
      </c>
    </row>
    <row r="12" spans="1:7">
      <c r="A12" s="4">
        <v>5</v>
      </c>
      <c r="B12" s="6" t="s">
        <v>87</v>
      </c>
      <c r="C12" s="13">
        <v>10</v>
      </c>
      <c r="D12" s="6" t="s">
        <v>88</v>
      </c>
    </row>
    <row r="13" spans="1:7">
      <c r="A13" s="4">
        <v>6</v>
      </c>
      <c r="B13" s="6" t="s">
        <v>89</v>
      </c>
      <c r="C13" s="13">
        <v>10</v>
      </c>
      <c r="D13" s="6" t="s">
        <v>90</v>
      </c>
    </row>
    <row r="14" spans="1:7">
      <c r="A14" s="4">
        <v>7</v>
      </c>
      <c r="B14" s="6" t="s">
        <v>33</v>
      </c>
      <c r="C14" s="13">
        <v>10</v>
      </c>
      <c r="D14" s="6" t="s">
        <v>34</v>
      </c>
    </row>
    <row r="15" spans="1:7">
      <c r="A15" s="4">
        <v>8</v>
      </c>
      <c r="B15" s="6" t="s">
        <v>91</v>
      </c>
      <c r="C15" s="13">
        <v>10</v>
      </c>
      <c r="D15" s="6" t="s">
        <v>92</v>
      </c>
    </row>
    <row r="16" spans="1:7">
      <c r="A16" s="4">
        <v>9</v>
      </c>
      <c r="B16" s="6" t="s">
        <v>93</v>
      </c>
      <c r="C16" s="13">
        <v>10</v>
      </c>
      <c r="D16" s="6" t="s">
        <v>94</v>
      </c>
    </row>
    <row r="17" spans="1:4">
      <c r="A17" s="4">
        <v>10</v>
      </c>
      <c r="B17" s="6" t="s">
        <v>59</v>
      </c>
      <c r="C17" s="13">
        <v>10</v>
      </c>
      <c r="D17" s="6" t="s">
        <v>60</v>
      </c>
    </row>
    <row r="18" spans="1:4">
      <c r="A18" s="4">
        <v>11</v>
      </c>
      <c r="B18" s="6" t="s">
        <v>25</v>
      </c>
      <c r="C18" s="13">
        <v>10</v>
      </c>
      <c r="D18" s="6" t="s">
        <v>26</v>
      </c>
    </row>
    <row r="19" spans="1:4">
      <c r="A19" s="4">
        <v>12</v>
      </c>
      <c r="B19" s="6" t="s">
        <v>95</v>
      </c>
      <c r="C19" s="13">
        <v>10</v>
      </c>
      <c r="D19" s="6" t="s">
        <v>96</v>
      </c>
    </row>
    <row r="20" spans="1:4">
      <c r="A20" s="4">
        <v>13</v>
      </c>
      <c r="B20" s="6" t="s">
        <v>97</v>
      </c>
      <c r="C20" s="13">
        <v>10</v>
      </c>
      <c r="D20" s="6" t="s">
        <v>98</v>
      </c>
    </row>
    <row r="21" spans="1:4">
      <c r="A21" s="4">
        <v>14</v>
      </c>
      <c r="B21" s="6" t="s">
        <v>99</v>
      </c>
      <c r="C21" s="13">
        <v>10</v>
      </c>
      <c r="D21" s="6" t="s">
        <v>100</v>
      </c>
    </row>
    <row r="22" spans="1:4">
      <c r="A22" s="4">
        <v>15</v>
      </c>
      <c r="B22" s="6" t="s">
        <v>101</v>
      </c>
      <c r="C22" s="13">
        <v>10</v>
      </c>
      <c r="D22" s="6" t="s">
        <v>102</v>
      </c>
    </row>
    <row r="23" spans="1:4">
      <c r="A23" s="4">
        <v>16</v>
      </c>
      <c r="B23" s="6" t="s">
        <v>57</v>
      </c>
      <c r="C23" s="13">
        <v>10</v>
      </c>
      <c r="D23" s="6" t="s">
        <v>58</v>
      </c>
    </row>
    <row r="24" spans="1:4">
      <c r="A24" s="4">
        <v>17</v>
      </c>
      <c r="B24" s="6" t="s">
        <v>103</v>
      </c>
      <c r="C24" s="13">
        <v>10</v>
      </c>
      <c r="D24" s="6" t="s">
        <v>104</v>
      </c>
    </row>
    <row r="25" spans="1:4">
      <c r="A25" s="4">
        <v>18</v>
      </c>
      <c r="B25" s="6" t="s">
        <v>105</v>
      </c>
      <c r="C25" s="13">
        <v>10</v>
      </c>
      <c r="D25" s="6" t="s">
        <v>106</v>
      </c>
    </row>
    <row r="26" spans="1:4">
      <c r="A26" s="4">
        <v>19</v>
      </c>
      <c r="B26" s="6" t="s">
        <v>107</v>
      </c>
      <c r="C26" s="13">
        <v>10</v>
      </c>
      <c r="D26" s="6" t="s">
        <v>108</v>
      </c>
    </row>
    <row r="28" spans="1:4">
      <c r="B28" s="9" t="s">
        <v>75</v>
      </c>
      <c r="C28" s="10">
        <f>SUM(C8:C26)</f>
        <v>2289</v>
      </c>
    </row>
    <row r="29" spans="1:4">
      <c r="B29" s="2" t="s">
        <v>76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workbookViewId="0">
      <pane ySplit="7" topLeftCell="A8" activePane="bottomLeft" state="frozen"/>
      <selection/>
      <selection pane="bottomLeft" activeCell="E2" sqref="E2:G3"/>
    </sheetView>
  </sheetViews>
  <sheetFormatPr defaultColWidth="9" defaultRowHeight="14.4" outlineLevelCol="6"/>
  <cols>
    <col min="1" max="1" width="10" customWidth="1"/>
    <col min="2" max="2" width="38" customWidth="1"/>
    <col min="3" max="3" width="14" customWidth="1"/>
    <col min="4" max="4" width="38" hidden="1" customWidth="1"/>
  </cols>
  <sheetData>
    <row r="1" ht="16.8" spans="1:7">
      <c r="A1" s="1" t="s">
        <v>109</v>
      </c>
    </row>
    <row r="2" spans="1:7">
      <c r="A2" s="9" t="s">
        <v>1</v>
      </c>
      <c r="B2" s="11" t="s">
        <v>110</v>
      </c>
      <c r="F2" t="s">
        <v>4</v>
      </c>
      <c r="G2" t="s">
        <v>5</v>
      </c>
    </row>
    <row r="3" spans="1:7">
      <c r="A3" s="9" t="s">
        <v>3</v>
      </c>
      <c r="B3" s="12">
        <v>500</v>
      </c>
      <c r="E3" t="s">
        <v>7</v>
      </c>
      <c r="F3">
        <v>34</v>
      </c>
      <c r="G3">
        <v>9</v>
      </c>
    </row>
    <row r="4" spans="1:7">
      <c r="A4" s="9" t="s">
        <v>6</v>
      </c>
      <c r="B4" s="11">
        <v>34</v>
      </c>
    </row>
    <row r="5" spans="1:7">
      <c r="A5" s="9" t="s">
        <v>8</v>
      </c>
      <c r="B5" s="11" t="s">
        <v>9</v>
      </c>
    </row>
    <row r="6" spans="1:7">
      <c r="A6" s="9" t="s">
        <v>10</v>
      </c>
      <c r="B6" s="11">
        <v>1</v>
      </c>
    </row>
    <row r="7" spans="1:7">
      <c r="A7" s="3" t="s">
        <v>11</v>
      </c>
      <c r="B7" s="3" t="s">
        <v>12</v>
      </c>
      <c r="C7" s="3" t="s">
        <v>13</v>
      </c>
      <c r="D7" s="3" t="s">
        <v>14</v>
      </c>
    </row>
    <row r="8" spans="1:7">
      <c r="A8" s="4">
        <v>1</v>
      </c>
      <c r="B8" s="6" t="s">
        <v>111</v>
      </c>
      <c r="C8" s="13">
        <v>672</v>
      </c>
      <c r="D8" s="6" t="s">
        <v>112</v>
      </c>
    </row>
    <row r="9" spans="1:7">
      <c r="A9" s="4">
        <v>2</v>
      </c>
      <c r="B9" s="6" t="s">
        <v>113</v>
      </c>
      <c r="C9" s="13">
        <v>672</v>
      </c>
      <c r="D9" s="6" t="s">
        <v>114</v>
      </c>
    </row>
    <row r="10" spans="1:7">
      <c r="A10" s="4">
        <v>3</v>
      </c>
      <c r="B10" s="6" t="s">
        <v>115</v>
      </c>
      <c r="C10" s="13">
        <v>588</v>
      </c>
      <c r="D10" s="6" t="s">
        <v>116</v>
      </c>
    </row>
    <row r="11" spans="1:7">
      <c r="A11" s="4">
        <v>4</v>
      </c>
      <c r="B11" s="6" t="s">
        <v>97</v>
      </c>
      <c r="C11" s="13">
        <v>504</v>
      </c>
      <c r="D11" s="6" t="s">
        <v>98</v>
      </c>
    </row>
    <row r="12" spans="1:7">
      <c r="A12" s="4">
        <v>5</v>
      </c>
      <c r="B12" s="6" t="s">
        <v>71</v>
      </c>
      <c r="C12" s="13">
        <v>420</v>
      </c>
      <c r="D12" s="6" t="s">
        <v>72</v>
      </c>
    </row>
    <row r="13" spans="1:7">
      <c r="A13" s="4">
        <v>6</v>
      </c>
      <c r="B13" s="6" t="s">
        <v>117</v>
      </c>
      <c r="C13" s="13">
        <v>378</v>
      </c>
      <c r="D13" s="6" t="s">
        <v>118</v>
      </c>
    </row>
    <row r="14" spans="1:7">
      <c r="A14" s="4" t="s">
        <v>119</v>
      </c>
      <c r="B14" s="6" t="s">
        <v>25</v>
      </c>
      <c r="C14" s="13">
        <v>10</v>
      </c>
      <c r="D14" s="6" t="s">
        <v>26</v>
      </c>
    </row>
    <row r="15" spans="1:7">
      <c r="A15" s="4" t="s">
        <v>119</v>
      </c>
      <c r="B15" s="6" t="s">
        <v>19</v>
      </c>
      <c r="C15" s="13">
        <v>10</v>
      </c>
      <c r="D15" s="6" t="s">
        <v>20</v>
      </c>
    </row>
    <row r="16" spans="1:7">
      <c r="A16" s="4" t="s">
        <v>119</v>
      </c>
      <c r="B16" s="6" t="s">
        <v>120</v>
      </c>
      <c r="C16" s="13">
        <v>10</v>
      </c>
      <c r="D16" s="6" t="s">
        <v>121</v>
      </c>
    </row>
    <row r="17" spans="1:4">
      <c r="A17" s="4" t="s">
        <v>119</v>
      </c>
      <c r="B17" s="6" t="s">
        <v>122</v>
      </c>
      <c r="C17" s="13">
        <v>10</v>
      </c>
      <c r="D17" s="6" t="s">
        <v>123</v>
      </c>
    </row>
    <row r="18" spans="1:4">
      <c r="A18" s="4" t="s">
        <v>119</v>
      </c>
      <c r="B18" s="6" t="s">
        <v>63</v>
      </c>
      <c r="C18" s="13">
        <v>10</v>
      </c>
      <c r="D18" s="6" t="s">
        <v>64</v>
      </c>
    </row>
    <row r="19" spans="1:4">
      <c r="A19" s="4" t="s">
        <v>119</v>
      </c>
      <c r="B19" s="6" t="s">
        <v>124</v>
      </c>
      <c r="C19" s="13">
        <v>10</v>
      </c>
      <c r="D19" s="6" t="s">
        <v>125</v>
      </c>
    </row>
    <row r="20" spans="1:4">
      <c r="A20" s="4" t="s">
        <v>119</v>
      </c>
      <c r="B20" s="6" t="s">
        <v>126</v>
      </c>
      <c r="C20" s="13">
        <v>10</v>
      </c>
      <c r="D20" s="6" t="s">
        <v>127</v>
      </c>
    </row>
    <row r="21" spans="1:4">
      <c r="A21" s="4" t="s">
        <v>119</v>
      </c>
      <c r="B21" s="6" t="s">
        <v>128</v>
      </c>
      <c r="C21" s="13">
        <v>10</v>
      </c>
      <c r="D21" s="6" t="s">
        <v>129</v>
      </c>
    </row>
    <row r="22" spans="1:4">
      <c r="A22" s="4" t="s">
        <v>119</v>
      </c>
      <c r="B22" s="6" t="s">
        <v>130</v>
      </c>
      <c r="C22" s="13">
        <v>10</v>
      </c>
      <c r="D22" s="6" t="s">
        <v>131</v>
      </c>
    </row>
    <row r="23" spans="1:4">
      <c r="A23" s="4" t="s">
        <v>119</v>
      </c>
      <c r="B23" s="6" t="s">
        <v>132</v>
      </c>
      <c r="C23" s="13">
        <v>10</v>
      </c>
      <c r="D23" s="6" t="s">
        <v>133</v>
      </c>
    </row>
    <row r="24" spans="1:4">
      <c r="A24" s="4" t="s">
        <v>119</v>
      </c>
      <c r="B24" s="6" t="s">
        <v>105</v>
      </c>
      <c r="C24" s="13">
        <v>10</v>
      </c>
      <c r="D24" s="6" t="s">
        <v>106</v>
      </c>
    </row>
    <row r="25" spans="1:4">
      <c r="A25" s="4" t="s">
        <v>119</v>
      </c>
      <c r="B25" s="6" t="s">
        <v>134</v>
      </c>
      <c r="C25" s="13">
        <v>10</v>
      </c>
      <c r="D25" s="6" t="s">
        <v>135</v>
      </c>
    </row>
    <row r="26" spans="1:4">
      <c r="A26" s="4" t="s">
        <v>119</v>
      </c>
      <c r="B26" s="6" t="s">
        <v>136</v>
      </c>
      <c r="C26" s="13">
        <v>10</v>
      </c>
      <c r="D26" s="6" t="s">
        <v>137</v>
      </c>
    </row>
    <row r="27" spans="1:4">
      <c r="A27" s="4" t="s">
        <v>119</v>
      </c>
      <c r="B27" s="6" t="s">
        <v>138</v>
      </c>
      <c r="C27" s="13">
        <v>10</v>
      </c>
      <c r="D27" s="6" t="s">
        <v>139</v>
      </c>
    </row>
    <row r="28" spans="1:4">
      <c r="A28" s="4" t="s">
        <v>119</v>
      </c>
      <c r="B28" s="6" t="s">
        <v>140</v>
      </c>
      <c r="C28" s="13">
        <v>10</v>
      </c>
      <c r="D28" s="6" t="s">
        <v>141</v>
      </c>
    </row>
    <row r="29" spans="1:4">
      <c r="A29" s="4" t="s">
        <v>119</v>
      </c>
      <c r="B29" s="6" t="s">
        <v>142</v>
      </c>
      <c r="C29" s="13">
        <v>10</v>
      </c>
      <c r="D29" s="6" t="s">
        <v>143</v>
      </c>
    </row>
    <row r="30" spans="1:4">
      <c r="A30" s="4" t="s">
        <v>119</v>
      </c>
      <c r="B30" s="6" t="s">
        <v>144</v>
      </c>
      <c r="C30" s="13">
        <v>10</v>
      </c>
      <c r="D30" s="6" t="s">
        <v>145</v>
      </c>
    </row>
    <row r="31" spans="1:4">
      <c r="A31" s="4" t="s">
        <v>119</v>
      </c>
      <c r="B31" s="6" t="s">
        <v>146</v>
      </c>
      <c r="C31" s="13">
        <v>10</v>
      </c>
      <c r="D31" s="6" t="s">
        <v>147</v>
      </c>
    </row>
    <row r="32" spans="1:4">
      <c r="A32" s="4" t="s">
        <v>119</v>
      </c>
      <c r="B32" s="6" t="s">
        <v>148</v>
      </c>
      <c r="C32" s="13">
        <v>10</v>
      </c>
      <c r="D32" s="6" t="s">
        <v>149</v>
      </c>
    </row>
    <row r="33" spans="1:4">
      <c r="A33" s="4" t="s">
        <v>119</v>
      </c>
      <c r="B33" s="6" t="s">
        <v>69</v>
      </c>
      <c r="C33" s="13">
        <v>10</v>
      </c>
      <c r="D33" s="6" t="s">
        <v>70</v>
      </c>
    </row>
    <row r="34" spans="1:4">
      <c r="A34" s="4" t="s">
        <v>119</v>
      </c>
      <c r="B34" s="6" t="s">
        <v>150</v>
      </c>
      <c r="C34" s="13">
        <v>10</v>
      </c>
      <c r="D34" s="6" t="s">
        <v>151</v>
      </c>
    </row>
    <row r="35" spans="1:4">
      <c r="A35" s="4" t="s">
        <v>119</v>
      </c>
      <c r="B35" s="6" t="s">
        <v>152</v>
      </c>
      <c r="C35" s="13">
        <v>10</v>
      </c>
      <c r="D35" s="6" t="s">
        <v>153</v>
      </c>
    </row>
    <row r="36" spans="1:4">
      <c r="A36" s="4" t="s">
        <v>119</v>
      </c>
      <c r="B36" s="6" t="s">
        <v>154</v>
      </c>
      <c r="C36" s="13">
        <v>10</v>
      </c>
      <c r="D36" s="6" t="s">
        <v>155</v>
      </c>
    </row>
    <row r="37" spans="1:4">
      <c r="A37" s="4" t="s">
        <v>119</v>
      </c>
      <c r="B37" s="6" t="s">
        <v>156</v>
      </c>
      <c r="C37" s="13">
        <v>10</v>
      </c>
      <c r="D37" s="6" t="s">
        <v>157</v>
      </c>
    </row>
    <row r="38" spans="1:4">
      <c r="A38" s="4" t="s">
        <v>119</v>
      </c>
      <c r="B38" s="6" t="s">
        <v>49</v>
      </c>
      <c r="C38" s="13">
        <v>10</v>
      </c>
      <c r="D38" s="6" t="s">
        <v>50</v>
      </c>
    </row>
    <row r="39" spans="1:4">
      <c r="A39" s="4" t="s">
        <v>119</v>
      </c>
      <c r="B39" s="6" t="s">
        <v>158</v>
      </c>
      <c r="C39" s="13">
        <v>10</v>
      </c>
      <c r="D39" s="6" t="s">
        <v>159</v>
      </c>
    </row>
    <row r="40" spans="1:4">
      <c r="A40" s="4" t="s">
        <v>119</v>
      </c>
      <c r="B40" s="6" t="s">
        <v>160</v>
      </c>
      <c r="C40" s="13">
        <v>10</v>
      </c>
      <c r="D40" s="6" t="s">
        <v>161</v>
      </c>
    </row>
    <row r="41" spans="1:4">
      <c r="A41" s="4" t="s">
        <v>119</v>
      </c>
      <c r="B41" s="6" t="s">
        <v>162</v>
      </c>
      <c r="C41" s="13">
        <v>10</v>
      </c>
      <c r="D41" s="6" t="s">
        <v>163</v>
      </c>
    </row>
    <row r="43" spans="1:4">
      <c r="B43" s="9" t="s">
        <v>75</v>
      </c>
      <c r="C43" s="10">
        <f>SUM(C8:C41)</f>
        <v>3514</v>
      </c>
    </row>
    <row r="44" spans="1:4">
      <c r="B44" s="2" t="s">
        <v>76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pane ySplit="7" topLeftCell="A8" activePane="bottomLeft" state="frozen"/>
      <selection/>
      <selection pane="bottomLeft" activeCell="F3" sqref="F3:H4"/>
    </sheetView>
  </sheetViews>
  <sheetFormatPr defaultColWidth="9" defaultRowHeight="14.4" outlineLevelCol="7"/>
  <cols>
    <col min="1" max="1" width="10" customWidth="1"/>
    <col min="2" max="2" width="38" customWidth="1"/>
    <col min="3" max="3" width="14" customWidth="1"/>
    <col min="4" max="4" width="38" hidden="1" customWidth="1"/>
  </cols>
  <sheetData>
    <row r="1" ht="16.8" spans="1:8">
      <c r="A1" s="1" t="s">
        <v>164</v>
      </c>
    </row>
    <row r="2" spans="1:8">
      <c r="A2" s="9" t="s">
        <v>1</v>
      </c>
      <c r="B2" s="11" t="s">
        <v>165</v>
      </c>
    </row>
    <row r="3" spans="1:8">
      <c r="A3" s="9" t="s">
        <v>3</v>
      </c>
      <c r="B3" s="12">
        <v>1200</v>
      </c>
      <c r="G3" t="s">
        <v>4</v>
      </c>
      <c r="H3" t="s">
        <v>5</v>
      </c>
    </row>
    <row r="4" spans="1:8">
      <c r="A4" s="9" t="s">
        <v>6</v>
      </c>
      <c r="B4" s="11">
        <v>14</v>
      </c>
      <c r="F4" t="s">
        <v>7</v>
      </c>
      <c r="G4">
        <v>14</v>
      </c>
      <c r="H4">
        <v>4</v>
      </c>
    </row>
    <row r="5" spans="1:8">
      <c r="A5" s="9" t="s">
        <v>8</v>
      </c>
      <c r="B5" s="11" t="s">
        <v>9</v>
      </c>
    </row>
    <row r="6" spans="1:8">
      <c r="A6" s="9" t="s">
        <v>10</v>
      </c>
      <c r="B6" s="11">
        <v>1</v>
      </c>
    </row>
    <row r="7" spans="1:8">
      <c r="A7" s="3" t="s">
        <v>11</v>
      </c>
      <c r="B7" s="3" t="s">
        <v>12</v>
      </c>
      <c r="C7" s="3" t="s">
        <v>13</v>
      </c>
      <c r="D7" s="3" t="s">
        <v>14</v>
      </c>
    </row>
    <row r="8" spans="1:8">
      <c r="A8" s="4">
        <v>1</v>
      </c>
      <c r="B8" s="6" t="s">
        <v>93</v>
      </c>
      <c r="C8" s="13">
        <v>768</v>
      </c>
      <c r="D8" s="6" t="s">
        <v>94</v>
      </c>
    </row>
    <row r="9" spans="1:8">
      <c r="A9" s="4">
        <v>2</v>
      </c>
      <c r="B9" s="6" t="s">
        <v>81</v>
      </c>
      <c r="C9" s="13">
        <v>614.4</v>
      </c>
      <c r="D9" s="6" t="s">
        <v>82</v>
      </c>
    </row>
    <row r="10" spans="1:8">
      <c r="A10" s="4">
        <v>3</v>
      </c>
      <c r="B10" s="6" t="s">
        <v>85</v>
      </c>
      <c r="C10" s="13">
        <v>537.6</v>
      </c>
      <c r="D10" s="6" t="s">
        <v>86</v>
      </c>
    </row>
    <row r="11" spans="1:8">
      <c r="A11" s="4">
        <v>4</v>
      </c>
      <c r="B11" s="6" t="s">
        <v>101</v>
      </c>
      <c r="C11" s="13">
        <v>460.8</v>
      </c>
      <c r="D11" s="6" t="s">
        <v>102</v>
      </c>
    </row>
    <row r="12" spans="1:8">
      <c r="A12" s="4">
        <v>5</v>
      </c>
      <c r="B12" s="6" t="s">
        <v>91</v>
      </c>
      <c r="C12" s="13">
        <v>10</v>
      </c>
      <c r="D12" s="6" t="s">
        <v>92</v>
      </c>
    </row>
    <row r="13" spans="1:8">
      <c r="A13" s="4">
        <v>6</v>
      </c>
      <c r="B13" s="6" t="s">
        <v>57</v>
      </c>
      <c r="C13" s="13">
        <v>10</v>
      </c>
      <c r="D13" s="6" t="s">
        <v>58</v>
      </c>
    </row>
    <row r="14" spans="1:8">
      <c r="A14" s="4">
        <v>7</v>
      </c>
      <c r="B14" s="6" t="s">
        <v>59</v>
      </c>
      <c r="C14" s="13">
        <v>10</v>
      </c>
      <c r="D14" s="6" t="s">
        <v>60</v>
      </c>
    </row>
    <row r="15" spans="1:8">
      <c r="A15" s="4">
        <v>8</v>
      </c>
      <c r="B15" s="6" t="s">
        <v>166</v>
      </c>
      <c r="C15" s="13">
        <v>10</v>
      </c>
      <c r="D15" s="6" t="s">
        <v>167</v>
      </c>
    </row>
    <row r="16" spans="1:8">
      <c r="A16" s="4">
        <v>9</v>
      </c>
      <c r="B16" s="6" t="s">
        <v>15</v>
      </c>
      <c r="C16" s="13">
        <v>10</v>
      </c>
      <c r="D16" s="6" t="s">
        <v>16</v>
      </c>
    </row>
    <row r="17" spans="1:4">
      <c r="A17" s="4">
        <v>10</v>
      </c>
      <c r="B17" s="6" t="s">
        <v>89</v>
      </c>
      <c r="C17" s="13">
        <v>10</v>
      </c>
      <c r="D17" s="6" t="s">
        <v>90</v>
      </c>
    </row>
    <row r="18" spans="1:4">
      <c r="A18" s="4">
        <v>11</v>
      </c>
      <c r="B18" s="6" t="s">
        <v>95</v>
      </c>
      <c r="C18" s="13">
        <v>10</v>
      </c>
      <c r="D18" s="6" t="s">
        <v>96</v>
      </c>
    </row>
    <row r="19" spans="1:4">
      <c r="A19" s="4">
        <v>12</v>
      </c>
      <c r="B19" s="6" t="s">
        <v>79</v>
      </c>
      <c r="C19" s="13">
        <v>10</v>
      </c>
      <c r="D19" s="6" t="s">
        <v>80</v>
      </c>
    </row>
    <row r="20" spans="1:4">
      <c r="A20" s="4">
        <v>13</v>
      </c>
      <c r="B20" s="6" t="s">
        <v>107</v>
      </c>
      <c r="C20" s="13">
        <v>10</v>
      </c>
      <c r="D20" s="6" t="s">
        <v>108</v>
      </c>
    </row>
    <row r="21" spans="1:4">
      <c r="A21" s="4">
        <v>14</v>
      </c>
      <c r="B21" s="6" t="s">
        <v>83</v>
      </c>
      <c r="C21" s="13">
        <v>10</v>
      </c>
      <c r="D21" s="6" t="s">
        <v>84</v>
      </c>
    </row>
    <row r="23" spans="1:4">
      <c r="B23" s="9" t="s">
        <v>75</v>
      </c>
      <c r="C23" s="10">
        <f>SUM(C8:C21)</f>
        <v>2480.8</v>
      </c>
    </row>
    <row r="24" spans="1:4">
      <c r="B24" s="2" t="s">
        <v>76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workbookViewId="0">
      <pane ySplit="7" topLeftCell="A8" activePane="bottomLeft" state="frozen"/>
      <selection/>
      <selection pane="bottomLeft" activeCell="E2" sqref="E2:G3"/>
    </sheetView>
  </sheetViews>
  <sheetFormatPr defaultColWidth="9" defaultRowHeight="14.4" outlineLevelCol="6"/>
  <cols>
    <col min="1" max="1" width="44.7777777777778" customWidth="1"/>
    <col min="2" max="2" width="38" customWidth="1"/>
    <col min="3" max="3" width="14" customWidth="1"/>
    <col min="4" max="4" width="38" hidden="1" customWidth="1"/>
  </cols>
  <sheetData>
    <row r="1" ht="16.8" spans="1:7">
      <c r="A1" s="1" t="s">
        <v>168</v>
      </c>
    </row>
    <row r="2" spans="1:7">
      <c r="A2" s="9" t="s">
        <v>1</v>
      </c>
      <c r="B2" s="11" t="s">
        <v>169</v>
      </c>
      <c r="F2" t="s">
        <v>4</v>
      </c>
      <c r="G2" t="s">
        <v>5</v>
      </c>
    </row>
    <row r="3" spans="1:7">
      <c r="A3" s="9" t="s">
        <v>3</v>
      </c>
      <c r="B3" s="12">
        <v>1500</v>
      </c>
      <c r="E3" t="s">
        <v>7</v>
      </c>
      <c r="F3">
        <v>25</v>
      </c>
      <c r="G3">
        <v>43</v>
      </c>
    </row>
    <row r="4" spans="1:7">
      <c r="A4" s="9" t="s">
        <v>6</v>
      </c>
      <c r="B4" s="11">
        <v>25</v>
      </c>
    </row>
    <row r="5" spans="1:7">
      <c r="A5" s="9" t="s">
        <v>8</v>
      </c>
      <c r="B5" s="11" t="s">
        <v>9</v>
      </c>
    </row>
    <row r="6" spans="1:7">
      <c r="A6" s="9" t="s">
        <v>10</v>
      </c>
      <c r="B6" s="11">
        <v>1</v>
      </c>
    </row>
    <row r="7" spans="1:7">
      <c r="A7" s="3" t="s">
        <v>11</v>
      </c>
      <c r="B7" s="3" t="s">
        <v>12</v>
      </c>
      <c r="C7" s="3" t="s">
        <v>13</v>
      </c>
      <c r="D7" s="3" t="s">
        <v>14</v>
      </c>
    </row>
    <row r="8" spans="1:7">
      <c r="A8" s="4">
        <v>1</v>
      </c>
      <c r="B8" s="6" t="s">
        <v>17</v>
      </c>
      <c r="C8" s="13">
        <v>900</v>
      </c>
      <c r="D8" s="6" t="s">
        <v>18</v>
      </c>
    </row>
    <row r="9" spans="1:7">
      <c r="A9" s="4">
        <v>2</v>
      </c>
      <c r="B9" s="6" t="s">
        <v>170</v>
      </c>
      <c r="C9" s="13">
        <v>720</v>
      </c>
      <c r="D9" s="6" t="s">
        <v>171</v>
      </c>
    </row>
    <row r="10" spans="1:7">
      <c r="A10" s="4">
        <v>3</v>
      </c>
      <c r="B10" s="6" t="s">
        <v>45</v>
      </c>
      <c r="C10" s="13">
        <v>630</v>
      </c>
      <c r="D10" s="6" t="s">
        <v>46</v>
      </c>
    </row>
    <row r="11" spans="1:7">
      <c r="A11" s="4">
        <v>4</v>
      </c>
      <c r="B11" s="6" t="s">
        <v>41</v>
      </c>
      <c r="C11" s="13">
        <v>540</v>
      </c>
      <c r="D11" s="6" t="s">
        <v>42</v>
      </c>
    </row>
    <row r="12" spans="1:7">
      <c r="A12" s="4">
        <v>5</v>
      </c>
      <c r="B12" s="6" t="s">
        <v>59</v>
      </c>
      <c r="C12" s="13">
        <v>450</v>
      </c>
      <c r="D12" s="6" t="s">
        <v>60</v>
      </c>
    </row>
    <row r="13" spans="1:7">
      <c r="A13" s="4">
        <v>6</v>
      </c>
      <c r="B13" s="6" t="s">
        <v>19</v>
      </c>
      <c r="C13" s="13">
        <v>405</v>
      </c>
      <c r="D13" s="6" t="s">
        <v>20</v>
      </c>
    </row>
    <row r="14" spans="1:7">
      <c r="A14" s="4">
        <v>7</v>
      </c>
      <c r="B14" s="6" t="s">
        <v>172</v>
      </c>
      <c r="C14" s="13">
        <v>360</v>
      </c>
      <c r="D14" s="6" t="s">
        <v>173</v>
      </c>
    </row>
    <row r="15" spans="1:7">
      <c r="A15" s="4">
        <v>8</v>
      </c>
      <c r="B15" s="6" t="s">
        <v>25</v>
      </c>
      <c r="C15" s="13">
        <v>315</v>
      </c>
      <c r="D15" s="6" t="s">
        <v>26</v>
      </c>
    </row>
    <row r="16" spans="1:7">
      <c r="A16" s="4">
        <v>9</v>
      </c>
      <c r="B16" s="6" t="s">
        <v>39</v>
      </c>
      <c r="C16" s="13">
        <v>10</v>
      </c>
      <c r="D16" s="6" t="s">
        <v>40</v>
      </c>
    </row>
    <row r="17" spans="1:4">
      <c r="A17" s="4">
        <v>10</v>
      </c>
      <c r="B17" s="6" t="s">
        <v>174</v>
      </c>
      <c r="C17" s="13">
        <v>10</v>
      </c>
      <c r="D17" s="6" t="s">
        <v>175</v>
      </c>
    </row>
    <row r="18" spans="1:4">
      <c r="A18" s="4" t="s">
        <v>119</v>
      </c>
      <c r="B18" s="6" t="s">
        <v>71</v>
      </c>
      <c r="C18" s="13">
        <v>10</v>
      </c>
      <c r="D18" s="6" t="s">
        <v>72</v>
      </c>
    </row>
    <row r="19" spans="1:4">
      <c r="A19" s="4" t="s">
        <v>119</v>
      </c>
      <c r="B19" s="6" t="s">
        <v>31</v>
      </c>
      <c r="C19" s="13">
        <v>10</v>
      </c>
      <c r="D19" s="6" t="s">
        <v>32</v>
      </c>
    </row>
    <row r="20" spans="1:4">
      <c r="A20" s="4" t="s">
        <v>119</v>
      </c>
      <c r="B20" s="6" t="s">
        <v>176</v>
      </c>
      <c r="C20" s="13">
        <v>10</v>
      </c>
      <c r="D20" s="6" t="s">
        <v>177</v>
      </c>
    </row>
    <row r="21" spans="1:4">
      <c r="A21" s="4" t="s">
        <v>119</v>
      </c>
      <c r="B21" s="6" t="s">
        <v>65</v>
      </c>
      <c r="C21" s="13">
        <v>10</v>
      </c>
      <c r="D21" s="6" t="s">
        <v>66</v>
      </c>
    </row>
    <row r="22" spans="1:4">
      <c r="A22" s="4" t="s">
        <v>119</v>
      </c>
      <c r="B22" s="6" t="s">
        <v>178</v>
      </c>
      <c r="C22" s="13">
        <v>10</v>
      </c>
      <c r="D22" s="6" t="s">
        <v>179</v>
      </c>
    </row>
    <row r="23" spans="1:4">
      <c r="A23" s="4" t="s">
        <v>119</v>
      </c>
      <c r="B23" s="6" t="s">
        <v>180</v>
      </c>
      <c r="C23" s="13">
        <v>10</v>
      </c>
      <c r="D23" s="6" t="s">
        <v>181</v>
      </c>
    </row>
    <row r="24" spans="1:4">
      <c r="A24" s="4" t="s">
        <v>119</v>
      </c>
      <c r="B24" s="6" t="s">
        <v>182</v>
      </c>
      <c r="C24" s="13">
        <v>10</v>
      </c>
      <c r="D24" s="6" t="s">
        <v>183</v>
      </c>
    </row>
    <row r="25" spans="1:4">
      <c r="A25" s="4" t="s">
        <v>119</v>
      </c>
      <c r="B25" s="6" t="s">
        <v>138</v>
      </c>
      <c r="C25" s="13">
        <v>10</v>
      </c>
      <c r="D25" s="6" t="s">
        <v>139</v>
      </c>
    </row>
    <row r="26" spans="1:4">
      <c r="A26" s="4" t="s">
        <v>119</v>
      </c>
      <c r="B26" s="6" t="s">
        <v>53</v>
      </c>
      <c r="C26" s="13">
        <v>10</v>
      </c>
      <c r="D26" s="6" t="s">
        <v>54</v>
      </c>
    </row>
    <row r="27" spans="1:4">
      <c r="A27" s="4" t="s">
        <v>119</v>
      </c>
      <c r="B27" s="6" t="s">
        <v>35</v>
      </c>
      <c r="C27" s="13">
        <v>10</v>
      </c>
      <c r="D27" s="6" t="s">
        <v>36</v>
      </c>
    </row>
    <row r="28" spans="1:4">
      <c r="A28" s="4" t="s">
        <v>119</v>
      </c>
      <c r="B28" s="6" t="s">
        <v>33</v>
      </c>
      <c r="C28" s="13">
        <v>10</v>
      </c>
      <c r="D28" s="6" t="s">
        <v>34</v>
      </c>
    </row>
    <row r="29" spans="1:4">
      <c r="A29" s="4" t="s">
        <v>119</v>
      </c>
      <c r="B29" s="6" t="s">
        <v>49</v>
      </c>
      <c r="C29" s="13">
        <v>10</v>
      </c>
      <c r="D29" s="6" t="s">
        <v>50</v>
      </c>
    </row>
    <row r="30" spans="1:4">
      <c r="A30" s="4" t="s">
        <v>119</v>
      </c>
      <c r="B30" s="6" t="s">
        <v>89</v>
      </c>
      <c r="C30" s="13">
        <v>10</v>
      </c>
      <c r="D30" s="6" t="s">
        <v>90</v>
      </c>
    </row>
    <row r="31" spans="1:4">
      <c r="A31" s="4" t="s">
        <v>119</v>
      </c>
      <c r="B31" s="6" t="s">
        <v>27</v>
      </c>
      <c r="C31" s="13">
        <v>10</v>
      </c>
      <c r="D31" s="6" t="s">
        <v>28</v>
      </c>
    </row>
    <row r="32" spans="1:4">
      <c r="A32" s="4" t="s">
        <v>119</v>
      </c>
      <c r="B32" s="6" t="s">
        <v>15</v>
      </c>
      <c r="C32" s="13">
        <v>10</v>
      </c>
      <c r="D32" s="6" t="s">
        <v>16</v>
      </c>
    </row>
    <row r="34" spans="2:3">
      <c r="B34" s="9" t="s">
        <v>75</v>
      </c>
      <c r="C34" s="10">
        <f>SUM(C8:C32)</f>
        <v>4490</v>
      </c>
    </row>
    <row r="35" spans="2:3">
      <c r="B35" s="2" t="s">
        <v>76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5"/>
  <sheetViews>
    <sheetView workbookViewId="0">
      <pane ySplit="7" topLeftCell="A8" activePane="bottomLeft" state="frozen"/>
      <selection/>
      <selection pane="bottomLeft" activeCell="F4" sqref="F4"/>
    </sheetView>
  </sheetViews>
  <sheetFormatPr defaultColWidth="9" defaultRowHeight="14.4" outlineLevelCol="6"/>
  <cols>
    <col min="1" max="1" width="48.4444444444444" customWidth="1"/>
    <col min="2" max="2" width="38" customWidth="1"/>
    <col min="3" max="3" width="14" customWidth="1"/>
    <col min="4" max="4" width="38" hidden="1" customWidth="1"/>
  </cols>
  <sheetData>
    <row r="1" ht="16.8" spans="1:7">
      <c r="A1" s="1" t="s">
        <v>184</v>
      </c>
    </row>
    <row r="2" spans="1:7">
      <c r="A2" s="9" t="s">
        <v>1</v>
      </c>
      <c r="B2" s="11" t="s">
        <v>185</v>
      </c>
      <c r="F2" t="s">
        <v>4</v>
      </c>
      <c r="G2" t="s">
        <v>5</v>
      </c>
    </row>
    <row r="3" spans="1:7">
      <c r="A3" s="9" t="s">
        <v>3</v>
      </c>
      <c r="B3" s="12">
        <v>3000</v>
      </c>
      <c r="E3" t="s">
        <v>7</v>
      </c>
      <c r="F3">
        <v>65</v>
      </c>
      <c r="G3">
        <v>20</v>
      </c>
    </row>
    <row r="4" spans="1:7">
      <c r="A4" s="9" t="s">
        <v>6</v>
      </c>
      <c r="B4" s="11">
        <v>65</v>
      </c>
    </row>
    <row r="5" spans="1:7">
      <c r="A5" s="9" t="s">
        <v>8</v>
      </c>
      <c r="B5" s="11" t="s">
        <v>9</v>
      </c>
    </row>
    <row r="6" spans="1:7">
      <c r="A6" s="9" t="s">
        <v>10</v>
      </c>
      <c r="B6" s="11">
        <v>1</v>
      </c>
    </row>
    <row r="7" spans="1:7">
      <c r="A7" s="3" t="s">
        <v>11</v>
      </c>
      <c r="B7" s="3" t="s">
        <v>12</v>
      </c>
      <c r="C7" s="3" t="s">
        <v>13</v>
      </c>
      <c r="D7" s="3" t="s">
        <v>14</v>
      </c>
    </row>
    <row r="8" spans="1:7">
      <c r="A8" s="4">
        <v>1</v>
      </c>
      <c r="B8" s="6" t="s">
        <v>138</v>
      </c>
      <c r="C8" s="13">
        <v>2300</v>
      </c>
      <c r="D8" s="6" t="s">
        <v>139</v>
      </c>
    </row>
    <row r="9" spans="1:7">
      <c r="A9" s="4">
        <v>2</v>
      </c>
      <c r="B9" s="6" t="s">
        <v>117</v>
      </c>
      <c r="C9" s="13">
        <v>2300</v>
      </c>
      <c r="D9" s="6" t="s">
        <v>118</v>
      </c>
    </row>
    <row r="10" spans="1:7">
      <c r="A10" s="4">
        <v>3</v>
      </c>
      <c r="B10" s="6" t="s">
        <v>186</v>
      </c>
      <c r="C10" s="13">
        <v>2012.5</v>
      </c>
      <c r="D10" s="6" t="s">
        <v>187</v>
      </c>
    </row>
    <row r="11" spans="1:7">
      <c r="A11" s="4">
        <v>4</v>
      </c>
      <c r="B11" s="6" t="s">
        <v>188</v>
      </c>
      <c r="C11" s="13">
        <v>1725</v>
      </c>
      <c r="D11" s="6" t="s">
        <v>189</v>
      </c>
    </row>
    <row r="12" spans="1:7">
      <c r="A12" s="4">
        <v>5</v>
      </c>
      <c r="B12" s="6" t="s">
        <v>190</v>
      </c>
      <c r="C12" s="13">
        <v>1437.5</v>
      </c>
      <c r="D12" s="6" t="s">
        <v>191</v>
      </c>
    </row>
    <row r="13" spans="1:7">
      <c r="A13" s="4">
        <v>6</v>
      </c>
      <c r="B13" s="6" t="s">
        <v>192</v>
      </c>
      <c r="C13" s="13">
        <v>1293.75</v>
      </c>
      <c r="D13" s="6" t="s">
        <v>193</v>
      </c>
    </row>
    <row r="14" spans="1:7">
      <c r="A14" s="4">
        <v>7</v>
      </c>
      <c r="B14" s="6" t="s">
        <v>130</v>
      </c>
      <c r="C14" s="13">
        <v>1150</v>
      </c>
      <c r="D14" s="6" t="s">
        <v>131</v>
      </c>
    </row>
    <row r="15" spans="1:7">
      <c r="A15" s="4">
        <v>8</v>
      </c>
      <c r="B15" s="6" t="s">
        <v>194</v>
      </c>
      <c r="C15" s="13">
        <v>1006.25</v>
      </c>
      <c r="D15" s="6" t="s">
        <v>195</v>
      </c>
    </row>
    <row r="16" spans="1:7">
      <c r="A16" s="4">
        <v>9</v>
      </c>
      <c r="B16" s="6" t="s">
        <v>29</v>
      </c>
      <c r="C16" s="13">
        <v>862.5</v>
      </c>
      <c r="D16" s="6" t="s">
        <v>30</v>
      </c>
    </row>
    <row r="17" spans="1:4">
      <c r="A17" s="4">
        <v>10</v>
      </c>
      <c r="B17" s="6" t="s">
        <v>196</v>
      </c>
      <c r="C17" s="13">
        <v>718.75</v>
      </c>
      <c r="D17" s="6" t="s">
        <v>197</v>
      </c>
    </row>
    <row r="18" spans="1:4">
      <c r="A18" s="4">
        <v>11</v>
      </c>
      <c r="B18" s="6" t="s">
        <v>39</v>
      </c>
      <c r="C18" s="13">
        <v>10</v>
      </c>
      <c r="D18" s="6" t="s">
        <v>40</v>
      </c>
    </row>
    <row r="19" spans="1:4">
      <c r="A19" s="4">
        <v>12</v>
      </c>
      <c r="B19" s="6" t="s">
        <v>198</v>
      </c>
      <c r="C19" s="13">
        <v>10</v>
      </c>
      <c r="D19" s="6" t="s">
        <v>199</v>
      </c>
    </row>
    <row r="20" spans="1:4">
      <c r="A20" s="4">
        <v>13</v>
      </c>
      <c r="B20" s="6" t="s">
        <v>144</v>
      </c>
      <c r="C20" s="13">
        <v>10</v>
      </c>
      <c r="D20" s="6" t="s">
        <v>145</v>
      </c>
    </row>
    <row r="21" spans="1:4">
      <c r="A21" s="4">
        <v>14</v>
      </c>
      <c r="B21" s="6" t="s">
        <v>200</v>
      </c>
      <c r="C21" s="13">
        <v>10</v>
      </c>
      <c r="D21" s="6" t="s">
        <v>201</v>
      </c>
    </row>
    <row r="22" spans="1:4">
      <c r="A22" s="4">
        <v>60</v>
      </c>
      <c r="B22" s="6" t="s">
        <v>202</v>
      </c>
      <c r="C22" s="13">
        <v>10</v>
      </c>
      <c r="D22" s="6" t="s">
        <v>203</v>
      </c>
    </row>
    <row r="23" spans="1:4">
      <c r="A23" s="4">
        <v>61</v>
      </c>
      <c r="B23" s="6" t="s">
        <v>19</v>
      </c>
      <c r="C23" s="13">
        <v>10</v>
      </c>
      <c r="D23" s="6" t="s">
        <v>20</v>
      </c>
    </row>
    <row r="24" spans="1:4">
      <c r="A24" s="4">
        <v>62</v>
      </c>
      <c r="B24" s="6" t="s">
        <v>174</v>
      </c>
      <c r="C24" s="13">
        <v>10</v>
      </c>
      <c r="D24" s="6" t="s">
        <v>175</v>
      </c>
    </row>
    <row r="25" spans="1:4">
      <c r="A25" s="4">
        <v>63</v>
      </c>
      <c r="B25" s="6" t="s">
        <v>204</v>
      </c>
      <c r="C25" s="13">
        <v>10</v>
      </c>
      <c r="D25" s="6" t="s">
        <v>205</v>
      </c>
    </row>
    <row r="26" spans="1:4">
      <c r="A26" s="4">
        <v>64</v>
      </c>
      <c r="B26" s="6" t="s">
        <v>206</v>
      </c>
      <c r="C26" s="13">
        <v>10</v>
      </c>
      <c r="D26" s="6" t="s">
        <v>207</v>
      </c>
    </row>
    <row r="27" spans="1:4">
      <c r="A27" s="4">
        <v>65</v>
      </c>
      <c r="B27" s="6" t="s">
        <v>208</v>
      </c>
      <c r="C27" s="13">
        <v>10</v>
      </c>
      <c r="D27" s="6" t="s">
        <v>209</v>
      </c>
    </row>
    <row r="28" spans="1:4">
      <c r="A28" s="4">
        <v>66</v>
      </c>
      <c r="B28" s="6" t="s">
        <v>210</v>
      </c>
      <c r="C28" s="13">
        <v>10</v>
      </c>
      <c r="D28" s="6" t="s">
        <v>211</v>
      </c>
    </row>
    <row r="29" spans="1:4">
      <c r="A29" s="4">
        <v>67</v>
      </c>
      <c r="B29" s="6" t="s">
        <v>212</v>
      </c>
      <c r="C29" s="13">
        <v>10</v>
      </c>
      <c r="D29" s="6" t="s">
        <v>213</v>
      </c>
    </row>
    <row r="30" spans="1:4">
      <c r="A30" s="4">
        <v>68</v>
      </c>
      <c r="B30" s="6" t="s">
        <v>214</v>
      </c>
      <c r="C30" s="13">
        <v>10</v>
      </c>
      <c r="D30" s="6" t="s">
        <v>215</v>
      </c>
    </row>
    <row r="31" spans="1:4">
      <c r="A31" s="4">
        <v>69</v>
      </c>
      <c r="B31" s="6" t="s">
        <v>216</v>
      </c>
      <c r="C31" s="13">
        <v>10</v>
      </c>
      <c r="D31" s="6" t="s">
        <v>217</v>
      </c>
    </row>
    <row r="32" spans="1:4">
      <c r="A32" s="4">
        <v>70</v>
      </c>
      <c r="B32" s="6" t="s">
        <v>126</v>
      </c>
      <c r="C32" s="13">
        <v>10</v>
      </c>
      <c r="D32" s="6" t="s">
        <v>127</v>
      </c>
    </row>
    <row r="33" spans="1:4">
      <c r="A33" s="4">
        <v>71</v>
      </c>
      <c r="B33" s="6" t="s">
        <v>35</v>
      </c>
      <c r="C33" s="13">
        <v>10</v>
      </c>
      <c r="D33" s="6" t="s">
        <v>36</v>
      </c>
    </row>
    <row r="34" spans="1:4">
      <c r="A34" s="4">
        <v>72</v>
      </c>
      <c r="B34" s="6" t="s">
        <v>218</v>
      </c>
      <c r="C34" s="13">
        <v>10</v>
      </c>
      <c r="D34" s="6" t="s">
        <v>219</v>
      </c>
    </row>
    <row r="35" spans="1:4">
      <c r="A35" s="4">
        <v>73</v>
      </c>
      <c r="B35" s="6" t="s">
        <v>43</v>
      </c>
      <c r="C35" s="13">
        <v>10</v>
      </c>
      <c r="D35" s="6" t="s">
        <v>44</v>
      </c>
    </row>
    <row r="36" spans="1:4">
      <c r="A36" s="4">
        <v>74</v>
      </c>
      <c r="B36" s="6" t="s">
        <v>99</v>
      </c>
      <c r="C36" s="13">
        <v>10</v>
      </c>
      <c r="D36" s="6" t="s">
        <v>100</v>
      </c>
    </row>
    <row r="37" spans="1:4">
      <c r="A37" s="4">
        <v>75</v>
      </c>
      <c r="B37" s="6" t="s">
        <v>220</v>
      </c>
      <c r="C37" s="13">
        <v>10</v>
      </c>
      <c r="D37" s="6" t="s">
        <v>221</v>
      </c>
    </row>
    <row r="38" spans="1:4">
      <c r="A38" s="4">
        <v>76</v>
      </c>
      <c r="B38" s="6" t="s">
        <v>222</v>
      </c>
      <c r="C38" s="13">
        <v>10</v>
      </c>
      <c r="D38" s="6" t="s">
        <v>223</v>
      </c>
    </row>
    <row r="39" spans="1:4">
      <c r="A39" s="4">
        <v>77</v>
      </c>
      <c r="B39" s="6" t="s">
        <v>89</v>
      </c>
      <c r="C39" s="13">
        <v>10</v>
      </c>
      <c r="D39" s="6" t="s">
        <v>90</v>
      </c>
    </row>
    <row r="40" spans="1:4">
      <c r="A40" s="4">
        <v>78</v>
      </c>
      <c r="B40" s="6" t="s">
        <v>224</v>
      </c>
      <c r="C40" s="13">
        <v>10</v>
      </c>
      <c r="D40" s="6" t="s">
        <v>225</v>
      </c>
    </row>
    <row r="41" spans="1:4">
      <c r="A41" s="4">
        <v>79</v>
      </c>
      <c r="B41" s="6" t="s">
        <v>226</v>
      </c>
      <c r="C41" s="13">
        <v>10</v>
      </c>
      <c r="D41" s="6" t="s">
        <v>227</v>
      </c>
    </row>
    <row r="42" spans="1:4">
      <c r="A42" s="4">
        <v>80</v>
      </c>
      <c r="B42" s="6" t="s">
        <v>228</v>
      </c>
      <c r="C42" s="13">
        <v>10</v>
      </c>
      <c r="D42" s="6" t="s">
        <v>229</v>
      </c>
    </row>
    <row r="43" spans="1:4">
      <c r="A43" s="4">
        <v>81</v>
      </c>
      <c r="B43" s="6" t="s">
        <v>122</v>
      </c>
      <c r="C43" s="13">
        <v>10</v>
      </c>
      <c r="D43" s="6" t="s">
        <v>123</v>
      </c>
    </row>
    <row r="44" spans="1:4">
      <c r="A44" s="4">
        <v>82</v>
      </c>
      <c r="B44" s="6" t="s">
        <v>63</v>
      </c>
      <c r="C44" s="13">
        <v>10</v>
      </c>
      <c r="D44" s="6" t="s">
        <v>64</v>
      </c>
    </row>
    <row r="45" spans="1:4">
      <c r="A45" s="4">
        <v>83</v>
      </c>
      <c r="B45" s="6" t="s">
        <v>230</v>
      </c>
      <c r="C45" s="13">
        <v>10</v>
      </c>
      <c r="D45" s="6" t="s">
        <v>231</v>
      </c>
    </row>
    <row r="46" spans="1:4">
      <c r="A46" s="4">
        <v>84</v>
      </c>
      <c r="B46" s="6" t="s">
        <v>21</v>
      </c>
      <c r="C46" s="13">
        <v>10</v>
      </c>
      <c r="D46" s="6" t="s">
        <v>22</v>
      </c>
    </row>
    <row r="47" spans="1:4">
      <c r="A47" s="4">
        <v>85</v>
      </c>
      <c r="B47" s="6" t="s">
        <v>160</v>
      </c>
      <c r="C47" s="13">
        <v>10</v>
      </c>
      <c r="D47" s="6" t="s">
        <v>161</v>
      </c>
    </row>
    <row r="48" spans="1:4">
      <c r="A48" s="4">
        <v>86</v>
      </c>
      <c r="B48" s="6" t="s">
        <v>142</v>
      </c>
      <c r="C48" s="13">
        <v>10</v>
      </c>
      <c r="D48" s="6" t="s">
        <v>143</v>
      </c>
    </row>
    <row r="49" spans="1:4">
      <c r="A49" s="4">
        <v>87</v>
      </c>
      <c r="B49" s="6" t="s">
        <v>25</v>
      </c>
      <c r="C49" s="13">
        <v>10</v>
      </c>
      <c r="D49" s="6" t="s">
        <v>26</v>
      </c>
    </row>
    <row r="50" spans="1:4">
      <c r="A50" s="4">
        <v>88</v>
      </c>
      <c r="B50" s="6" t="s">
        <v>49</v>
      </c>
      <c r="C50" s="13">
        <v>10</v>
      </c>
      <c r="D50" s="6" t="s">
        <v>50</v>
      </c>
    </row>
    <row r="51" spans="1:4">
      <c r="A51" s="4">
        <v>89</v>
      </c>
      <c r="B51" s="6" t="s">
        <v>71</v>
      </c>
      <c r="C51" s="13">
        <v>10</v>
      </c>
      <c r="D51" s="6" t="s">
        <v>72</v>
      </c>
    </row>
    <row r="52" spans="1:4">
      <c r="A52" s="4">
        <v>90</v>
      </c>
      <c r="B52" s="6" t="s">
        <v>232</v>
      </c>
      <c r="C52" s="13">
        <v>10</v>
      </c>
      <c r="D52" s="6" t="s">
        <v>233</v>
      </c>
    </row>
    <row r="53" spans="1:4">
      <c r="A53" s="4">
        <v>91</v>
      </c>
      <c r="B53" s="6" t="s">
        <v>115</v>
      </c>
      <c r="C53" s="13">
        <v>10</v>
      </c>
      <c r="D53" s="6" t="s">
        <v>116</v>
      </c>
    </row>
    <row r="54" spans="1:4">
      <c r="A54" s="4">
        <v>92</v>
      </c>
      <c r="B54" s="6" t="s">
        <v>234</v>
      </c>
      <c r="C54" s="13">
        <v>10</v>
      </c>
      <c r="D54" s="6" t="s">
        <v>235</v>
      </c>
    </row>
    <row r="55" spans="1:4">
      <c r="A55" s="4">
        <v>93</v>
      </c>
      <c r="B55" s="6" t="s">
        <v>236</v>
      </c>
      <c r="C55" s="13">
        <v>10</v>
      </c>
      <c r="D55" s="6" t="s">
        <v>237</v>
      </c>
    </row>
    <row r="56" spans="1:4">
      <c r="A56" s="4">
        <v>94</v>
      </c>
      <c r="B56" s="6" t="s">
        <v>33</v>
      </c>
      <c r="C56" s="13">
        <v>10</v>
      </c>
      <c r="D56" s="6" t="s">
        <v>34</v>
      </c>
    </row>
    <row r="57" spans="1:4">
      <c r="A57" s="4">
        <v>95</v>
      </c>
      <c r="B57" s="6" t="s">
        <v>238</v>
      </c>
      <c r="C57" s="13">
        <v>10</v>
      </c>
      <c r="D57" s="6" t="s">
        <v>239</v>
      </c>
    </row>
    <row r="58" spans="1:4">
      <c r="A58" s="4">
        <v>96</v>
      </c>
      <c r="B58" s="6" t="s">
        <v>132</v>
      </c>
      <c r="C58" s="13">
        <v>10</v>
      </c>
      <c r="D58" s="6" t="s">
        <v>133</v>
      </c>
    </row>
    <row r="59" spans="1:4">
      <c r="A59" s="4">
        <v>97</v>
      </c>
      <c r="B59" s="6" t="s">
        <v>45</v>
      </c>
      <c r="C59" s="13">
        <v>10</v>
      </c>
      <c r="D59" s="6" t="s">
        <v>46</v>
      </c>
    </row>
    <row r="60" spans="1:4">
      <c r="A60" s="4">
        <v>98</v>
      </c>
      <c r="B60" s="6" t="s">
        <v>146</v>
      </c>
      <c r="C60" s="13">
        <v>10</v>
      </c>
      <c r="D60" s="6" t="s">
        <v>147</v>
      </c>
    </row>
    <row r="61" spans="1:4">
      <c r="A61" s="4">
        <v>99</v>
      </c>
      <c r="B61" s="6" t="s">
        <v>65</v>
      </c>
      <c r="C61" s="13">
        <v>10</v>
      </c>
      <c r="D61" s="6" t="s">
        <v>66</v>
      </c>
    </row>
    <row r="62" spans="1:4">
      <c r="A62" s="4">
        <v>100</v>
      </c>
      <c r="B62" s="6" t="s">
        <v>240</v>
      </c>
      <c r="C62" s="13">
        <v>10</v>
      </c>
      <c r="D62" s="6" t="s">
        <v>241</v>
      </c>
    </row>
    <row r="63" spans="1:4">
      <c r="A63" s="4">
        <v>101</v>
      </c>
      <c r="B63" s="6" t="s">
        <v>128</v>
      </c>
      <c r="C63" s="13">
        <v>10</v>
      </c>
      <c r="D63" s="6" t="s">
        <v>129</v>
      </c>
    </row>
    <row r="64" spans="1:4">
      <c r="A64" s="4">
        <v>102</v>
      </c>
      <c r="B64" s="6" t="s">
        <v>242</v>
      </c>
      <c r="C64" s="13">
        <v>10</v>
      </c>
      <c r="D64" s="6" t="s">
        <v>243</v>
      </c>
    </row>
    <row r="65" spans="1:4">
      <c r="A65" s="4">
        <v>103</v>
      </c>
      <c r="B65" s="6" t="s">
        <v>17</v>
      </c>
      <c r="C65" s="13">
        <v>10</v>
      </c>
      <c r="D65" s="6" t="s">
        <v>18</v>
      </c>
    </row>
    <row r="66" spans="1:4">
      <c r="A66" s="4">
        <v>104</v>
      </c>
      <c r="B66" s="6" t="s">
        <v>244</v>
      </c>
      <c r="C66" s="13">
        <v>10</v>
      </c>
      <c r="D66" s="6" t="s">
        <v>245</v>
      </c>
    </row>
    <row r="67" spans="1:4">
      <c r="A67" s="4">
        <v>105</v>
      </c>
      <c r="B67" s="6" t="s">
        <v>15</v>
      </c>
      <c r="C67" s="13">
        <v>10</v>
      </c>
      <c r="D67" s="6" t="s">
        <v>16</v>
      </c>
    </row>
    <row r="68" spans="1:4">
      <c r="A68" s="4">
        <v>106</v>
      </c>
      <c r="B68" s="6" t="s">
        <v>134</v>
      </c>
      <c r="C68" s="13">
        <v>10</v>
      </c>
      <c r="D68" s="6" t="s">
        <v>135</v>
      </c>
    </row>
    <row r="69" spans="1:4">
      <c r="A69" s="4">
        <v>107</v>
      </c>
      <c r="B69" s="6" t="s">
        <v>83</v>
      </c>
      <c r="C69" s="13">
        <v>10</v>
      </c>
      <c r="D69" s="6" t="s">
        <v>84</v>
      </c>
    </row>
    <row r="70" spans="1:4">
      <c r="A70" s="4">
        <v>108</v>
      </c>
      <c r="B70" s="6" t="s">
        <v>140</v>
      </c>
      <c r="C70" s="13">
        <v>10</v>
      </c>
      <c r="D70" s="6" t="s">
        <v>141</v>
      </c>
    </row>
    <row r="71" spans="1:4">
      <c r="A71" s="4">
        <v>109</v>
      </c>
      <c r="B71" s="6" t="s">
        <v>91</v>
      </c>
      <c r="C71" s="13">
        <v>10</v>
      </c>
      <c r="D71" s="6" t="s">
        <v>92</v>
      </c>
    </row>
    <row r="72" spans="1:4">
      <c r="A72" s="4">
        <v>110</v>
      </c>
      <c r="B72" s="6" t="s">
        <v>246</v>
      </c>
      <c r="C72" s="13">
        <v>10</v>
      </c>
      <c r="D72" s="6" t="s">
        <v>247</v>
      </c>
    </row>
    <row r="74" spans="1:4">
      <c r="B74" s="9" t="s">
        <v>75</v>
      </c>
      <c r="C74" s="10">
        <f>SUM(C8:C72)</f>
        <v>15356.25</v>
      </c>
    </row>
    <row r="75" spans="1:4">
      <c r="B75" s="2" t="s">
        <v>76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workbookViewId="0">
      <pane ySplit="7" topLeftCell="A8" activePane="bottomLeft" state="frozen"/>
      <selection/>
      <selection pane="bottomLeft" activeCell="G3" sqref="G3"/>
    </sheetView>
  </sheetViews>
  <sheetFormatPr defaultColWidth="9" defaultRowHeight="14.4" outlineLevelCol="6"/>
  <cols>
    <col min="1" max="1" width="49.4444444444444" customWidth="1"/>
    <col min="2" max="2" width="38" customWidth="1"/>
    <col min="3" max="3" width="14" customWidth="1"/>
    <col min="4" max="4" width="38" hidden="1" customWidth="1"/>
  </cols>
  <sheetData>
    <row r="1" ht="16.8" spans="1:7">
      <c r="A1" s="1" t="s">
        <v>248</v>
      </c>
    </row>
    <row r="2" spans="1:7">
      <c r="A2" s="9" t="s">
        <v>1</v>
      </c>
      <c r="B2" s="11" t="s">
        <v>249</v>
      </c>
      <c r="E2" t="s">
        <v>250</v>
      </c>
      <c r="F2" t="s">
        <v>4</v>
      </c>
      <c r="G2" t="s">
        <v>251</v>
      </c>
    </row>
    <row r="3" spans="1:7">
      <c r="A3" s="9" t="s">
        <v>3</v>
      </c>
      <c r="B3" s="12">
        <v>500</v>
      </c>
      <c r="F3">
        <v>20</v>
      </c>
      <c r="G3">
        <v>12</v>
      </c>
    </row>
    <row r="4" spans="1:7">
      <c r="A4" s="9" t="s">
        <v>6</v>
      </c>
      <c r="B4" s="11">
        <v>20</v>
      </c>
    </row>
    <row r="5" spans="1:7">
      <c r="A5" s="9" t="s">
        <v>8</v>
      </c>
      <c r="B5" s="11" t="s">
        <v>9</v>
      </c>
    </row>
    <row r="6" spans="1:7">
      <c r="A6" s="9" t="s">
        <v>10</v>
      </c>
      <c r="B6" s="11">
        <v>1</v>
      </c>
    </row>
    <row r="7" spans="1:7">
      <c r="A7" s="3" t="s">
        <v>11</v>
      </c>
      <c r="B7" s="3" t="s">
        <v>12</v>
      </c>
      <c r="C7" s="3" t="s">
        <v>13</v>
      </c>
      <c r="D7" s="3" t="s">
        <v>14</v>
      </c>
    </row>
    <row r="8" spans="1:7">
      <c r="A8" s="4">
        <v>1</v>
      </c>
      <c r="B8" s="6" t="s">
        <v>49</v>
      </c>
      <c r="C8" s="13">
        <v>700</v>
      </c>
      <c r="D8" s="6" t="s">
        <v>50</v>
      </c>
    </row>
    <row r="9" spans="1:7">
      <c r="A9" s="4">
        <v>2</v>
      </c>
      <c r="B9" s="6" t="s">
        <v>115</v>
      </c>
      <c r="C9" s="13">
        <v>560</v>
      </c>
      <c r="D9" s="6" t="s">
        <v>116</v>
      </c>
    </row>
    <row r="10" spans="1:7">
      <c r="A10" s="4">
        <v>3</v>
      </c>
      <c r="B10" s="6" t="s">
        <v>252</v>
      </c>
      <c r="C10" s="13">
        <v>490</v>
      </c>
      <c r="D10" s="6" t="s">
        <v>253</v>
      </c>
    </row>
    <row r="11" spans="1:7">
      <c r="A11" s="4">
        <v>4</v>
      </c>
      <c r="B11" s="6" t="s">
        <v>254</v>
      </c>
      <c r="C11" s="13">
        <v>420</v>
      </c>
      <c r="D11" s="6" t="s">
        <v>255</v>
      </c>
    </row>
    <row r="12" spans="1:7">
      <c r="A12" s="4">
        <v>5</v>
      </c>
      <c r="B12" s="6" t="s">
        <v>256</v>
      </c>
      <c r="C12" s="13">
        <v>10</v>
      </c>
      <c r="D12" s="6" t="s">
        <v>257</v>
      </c>
    </row>
    <row r="13" spans="1:7">
      <c r="A13" s="4">
        <v>6</v>
      </c>
      <c r="B13" s="6" t="s">
        <v>55</v>
      </c>
      <c r="C13" s="13">
        <v>10</v>
      </c>
      <c r="D13" s="6" t="s">
        <v>56</v>
      </c>
    </row>
    <row r="14" spans="1:7">
      <c r="A14" s="4">
        <v>7</v>
      </c>
      <c r="B14" s="6" t="s">
        <v>81</v>
      </c>
      <c r="C14" s="13">
        <v>10</v>
      </c>
      <c r="D14" s="6" t="s">
        <v>82</v>
      </c>
    </row>
    <row r="15" spans="1:7">
      <c r="A15" s="4" t="s">
        <v>119</v>
      </c>
      <c r="B15" s="6" t="s">
        <v>176</v>
      </c>
      <c r="C15" s="13">
        <v>10</v>
      </c>
      <c r="D15" s="6" t="s">
        <v>177</v>
      </c>
    </row>
    <row r="16" spans="1:7">
      <c r="A16" s="4" t="s">
        <v>119</v>
      </c>
      <c r="B16" s="6" t="s">
        <v>258</v>
      </c>
      <c r="C16" s="13">
        <v>10</v>
      </c>
      <c r="D16" s="6" t="s">
        <v>259</v>
      </c>
    </row>
    <row r="17" spans="1:4">
      <c r="A17" s="4" t="s">
        <v>119</v>
      </c>
      <c r="B17" s="6" t="s">
        <v>128</v>
      </c>
      <c r="C17" s="13">
        <v>10</v>
      </c>
      <c r="D17" s="6" t="s">
        <v>129</v>
      </c>
    </row>
    <row r="18" spans="1:4">
      <c r="A18" s="4" t="s">
        <v>119</v>
      </c>
      <c r="B18" s="6" t="s">
        <v>260</v>
      </c>
      <c r="C18" s="13">
        <v>10</v>
      </c>
      <c r="D18" s="6" t="s">
        <v>261</v>
      </c>
    </row>
    <row r="19" spans="1:4">
      <c r="A19" s="4" t="s">
        <v>119</v>
      </c>
      <c r="B19" s="6" t="s">
        <v>93</v>
      </c>
      <c r="C19" s="13">
        <v>10</v>
      </c>
      <c r="D19" s="6" t="s">
        <v>94</v>
      </c>
    </row>
    <row r="20" spans="1:4">
      <c r="A20" s="4" t="s">
        <v>119</v>
      </c>
      <c r="B20" s="6" t="s">
        <v>105</v>
      </c>
      <c r="C20" s="13">
        <v>10</v>
      </c>
      <c r="D20" s="6" t="s">
        <v>106</v>
      </c>
    </row>
    <row r="21" spans="1:4">
      <c r="A21" s="4" t="s">
        <v>119</v>
      </c>
      <c r="B21" s="6" t="s">
        <v>99</v>
      </c>
      <c r="C21" s="13">
        <v>10</v>
      </c>
      <c r="D21" s="6" t="s">
        <v>100</v>
      </c>
    </row>
    <row r="22" spans="1:4">
      <c r="A22" s="4" t="s">
        <v>119</v>
      </c>
      <c r="B22" s="6" t="s">
        <v>262</v>
      </c>
      <c r="C22" s="13">
        <v>10</v>
      </c>
      <c r="D22" s="6" t="s">
        <v>263</v>
      </c>
    </row>
    <row r="23" spans="1:4">
      <c r="A23" s="4" t="s">
        <v>119</v>
      </c>
      <c r="B23" s="6" t="s">
        <v>172</v>
      </c>
      <c r="C23" s="13">
        <v>10</v>
      </c>
      <c r="D23" s="6" t="s">
        <v>173</v>
      </c>
    </row>
    <row r="24" spans="1:4">
      <c r="A24" s="4" t="s">
        <v>119</v>
      </c>
      <c r="B24" s="6" t="s">
        <v>264</v>
      </c>
      <c r="C24" s="13">
        <v>10</v>
      </c>
      <c r="D24" s="6" t="s">
        <v>265</v>
      </c>
    </row>
    <row r="25" spans="1:4">
      <c r="A25" s="4" t="s">
        <v>119</v>
      </c>
      <c r="B25" s="6" t="s">
        <v>266</v>
      </c>
      <c r="C25" s="13">
        <v>10</v>
      </c>
      <c r="D25" s="6" t="s">
        <v>267</v>
      </c>
    </row>
    <row r="26" spans="1:4">
      <c r="A26" s="4" t="s">
        <v>119</v>
      </c>
      <c r="B26" s="6" t="s">
        <v>268</v>
      </c>
      <c r="C26" s="13">
        <v>10</v>
      </c>
      <c r="D26" s="6" t="s">
        <v>269</v>
      </c>
    </row>
    <row r="27" spans="1:4">
      <c r="A27" s="4" t="s">
        <v>119</v>
      </c>
      <c r="B27" s="6" t="s">
        <v>97</v>
      </c>
      <c r="C27" s="13">
        <v>10</v>
      </c>
      <c r="D27" s="6" t="s">
        <v>98</v>
      </c>
    </row>
    <row r="29" spans="1:4">
      <c r="B29" s="9" t="s">
        <v>75</v>
      </c>
      <c r="C29" s="10">
        <f>SUM(C8:C27)</f>
        <v>2330</v>
      </c>
    </row>
    <row r="30" spans="1:4">
      <c r="B30" s="2" t="s">
        <v>76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4"/>
  <sheetViews>
    <sheetView workbookViewId="0">
      <pane ySplit="7" topLeftCell="A8" activePane="bottomLeft" state="frozen"/>
      <selection/>
      <selection pane="bottomLeft" activeCell="I19" sqref="I19"/>
    </sheetView>
  </sheetViews>
  <sheetFormatPr defaultColWidth="9" defaultRowHeight="14.4" outlineLevelCol="6"/>
  <cols>
    <col min="1" max="1" width="10" customWidth="1"/>
    <col min="2" max="2" width="38" customWidth="1"/>
    <col min="3" max="3" width="14" customWidth="1"/>
    <col min="4" max="4" width="38" hidden="1" customWidth="1"/>
  </cols>
  <sheetData>
    <row r="1" ht="16.8" spans="1:7">
      <c r="A1" s="1" t="s">
        <v>270</v>
      </c>
    </row>
    <row r="2" spans="1:7">
      <c r="A2" s="9" t="s">
        <v>1</v>
      </c>
      <c r="B2" s="11" t="s">
        <v>271</v>
      </c>
    </row>
    <row r="3" spans="1:7">
      <c r="A3" s="9" t="s">
        <v>3</v>
      </c>
      <c r="B3" s="12">
        <v>0</v>
      </c>
      <c r="G3" t="s">
        <v>4</v>
      </c>
    </row>
    <row r="4" spans="1:7">
      <c r="A4" s="9" t="s">
        <v>6</v>
      </c>
      <c r="B4" s="11">
        <v>79</v>
      </c>
      <c r="F4" t="s">
        <v>7</v>
      </c>
      <c r="G4">
        <v>79</v>
      </c>
    </row>
    <row r="5" spans="1:7">
      <c r="A5" s="9" t="s">
        <v>8</v>
      </c>
      <c r="B5" s="11" t="s">
        <v>272</v>
      </c>
    </row>
    <row r="6" spans="1:7">
      <c r="A6" s="9" t="s">
        <v>10</v>
      </c>
      <c r="B6" s="11">
        <v>1</v>
      </c>
    </row>
    <row r="7" spans="1:7">
      <c r="A7" s="3" t="s">
        <v>11</v>
      </c>
      <c r="B7" s="3" t="s">
        <v>12</v>
      </c>
      <c r="C7" s="3" t="s">
        <v>13</v>
      </c>
      <c r="D7" s="3" t="s">
        <v>14</v>
      </c>
    </row>
    <row r="8" spans="1:7">
      <c r="A8" s="4">
        <v>1</v>
      </c>
      <c r="B8" s="6" t="s">
        <v>105</v>
      </c>
      <c r="C8" s="13">
        <v>3780</v>
      </c>
      <c r="D8" s="6" t="s">
        <v>106</v>
      </c>
    </row>
    <row r="9" spans="1:7">
      <c r="A9" s="4">
        <v>2</v>
      </c>
      <c r="B9" s="6" t="s">
        <v>101</v>
      </c>
      <c r="C9" s="13">
        <v>3024</v>
      </c>
      <c r="D9" s="6" t="s">
        <v>102</v>
      </c>
    </row>
    <row r="10" spans="1:7">
      <c r="A10" s="4">
        <v>3</v>
      </c>
      <c r="B10" s="6" t="s">
        <v>273</v>
      </c>
      <c r="C10" s="13">
        <v>2646</v>
      </c>
      <c r="D10" s="6" t="s">
        <v>274</v>
      </c>
    </row>
    <row r="11" spans="1:7">
      <c r="A11" s="4">
        <v>4</v>
      </c>
      <c r="B11" s="6" t="s">
        <v>275</v>
      </c>
      <c r="C11" s="13">
        <v>2268</v>
      </c>
      <c r="D11" s="6" t="s">
        <v>276</v>
      </c>
    </row>
    <row r="12" spans="1:7">
      <c r="A12" s="4">
        <v>5</v>
      </c>
      <c r="B12" s="6" t="s">
        <v>49</v>
      </c>
      <c r="C12" s="13">
        <v>1890</v>
      </c>
      <c r="D12" s="6" t="s">
        <v>50</v>
      </c>
    </row>
    <row r="13" spans="1:7">
      <c r="A13" s="4">
        <v>6</v>
      </c>
      <c r="B13" s="6" t="s">
        <v>21</v>
      </c>
      <c r="C13" s="13">
        <v>1701</v>
      </c>
      <c r="D13" s="6" t="s">
        <v>22</v>
      </c>
    </row>
    <row r="14" spans="1:7">
      <c r="A14" s="4">
        <v>7</v>
      </c>
      <c r="B14" s="6" t="s">
        <v>45</v>
      </c>
      <c r="C14" s="13">
        <v>1512</v>
      </c>
      <c r="D14" s="6" t="s">
        <v>46</v>
      </c>
    </row>
    <row r="15" spans="1:7">
      <c r="A15" s="4">
        <v>8</v>
      </c>
      <c r="B15" s="6" t="s">
        <v>277</v>
      </c>
      <c r="C15" s="13">
        <v>1323</v>
      </c>
      <c r="D15" s="6" t="s">
        <v>278</v>
      </c>
    </row>
    <row r="16" spans="1:7">
      <c r="A16" s="4">
        <v>9</v>
      </c>
      <c r="B16" s="6" t="s">
        <v>279</v>
      </c>
      <c r="C16" s="13">
        <v>1134</v>
      </c>
      <c r="D16" s="6" t="s">
        <v>280</v>
      </c>
    </row>
    <row r="17" spans="1:4">
      <c r="A17" s="4">
        <v>10</v>
      </c>
      <c r="B17" s="6" t="s">
        <v>81</v>
      </c>
      <c r="C17" s="13">
        <v>945</v>
      </c>
      <c r="D17" s="6" t="s">
        <v>82</v>
      </c>
    </row>
    <row r="18" spans="1:4">
      <c r="A18" s="4">
        <v>11</v>
      </c>
      <c r="B18" s="6" t="s">
        <v>194</v>
      </c>
      <c r="C18" s="13">
        <v>945</v>
      </c>
      <c r="D18" s="6" t="s">
        <v>195</v>
      </c>
    </row>
    <row r="19" spans="1:4">
      <c r="A19" s="4">
        <v>12</v>
      </c>
      <c r="B19" s="6" t="s">
        <v>224</v>
      </c>
      <c r="C19" s="13">
        <v>945</v>
      </c>
      <c r="D19" s="6" t="s">
        <v>225</v>
      </c>
    </row>
    <row r="20" spans="1:4">
      <c r="A20" s="4">
        <v>13</v>
      </c>
      <c r="B20" s="6" t="s">
        <v>206</v>
      </c>
      <c r="C20" s="13">
        <v>756</v>
      </c>
      <c r="D20" s="6" t="s">
        <v>207</v>
      </c>
    </row>
    <row r="21" spans="1:4">
      <c r="A21" s="4">
        <v>14</v>
      </c>
      <c r="B21" s="6" t="s">
        <v>240</v>
      </c>
      <c r="C21" s="13">
        <v>756</v>
      </c>
      <c r="D21" s="6" t="s">
        <v>241</v>
      </c>
    </row>
    <row r="22" spans="1:4">
      <c r="A22" s="4">
        <v>15</v>
      </c>
      <c r="B22" s="6" t="s">
        <v>35</v>
      </c>
      <c r="C22" s="13">
        <v>756</v>
      </c>
      <c r="D22" s="6" t="s">
        <v>36</v>
      </c>
    </row>
    <row r="23" spans="1:4">
      <c r="A23" s="4">
        <v>16</v>
      </c>
      <c r="B23" s="6" t="s">
        <v>281</v>
      </c>
      <c r="C23" s="13">
        <v>756</v>
      </c>
      <c r="D23" s="6" t="s">
        <v>282</v>
      </c>
    </row>
    <row r="24" spans="1:4">
      <c r="A24" s="4">
        <v>17</v>
      </c>
      <c r="B24" s="6" t="s">
        <v>17</v>
      </c>
      <c r="C24" s="13">
        <v>756</v>
      </c>
      <c r="D24" s="6" t="s">
        <v>18</v>
      </c>
    </row>
    <row r="25" spans="1:4">
      <c r="A25" s="4">
        <v>18</v>
      </c>
      <c r="B25" s="6" t="s">
        <v>254</v>
      </c>
      <c r="C25" s="13">
        <v>756</v>
      </c>
      <c r="D25" s="6" t="s">
        <v>255</v>
      </c>
    </row>
    <row r="26" spans="1:4">
      <c r="A26" s="4">
        <v>19</v>
      </c>
      <c r="B26" s="6" t="s">
        <v>283</v>
      </c>
      <c r="C26" s="13">
        <v>378</v>
      </c>
      <c r="D26" s="6" t="s">
        <v>284</v>
      </c>
    </row>
    <row r="27" spans="1:4">
      <c r="A27" s="4">
        <v>20</v>
      </c>
      <c r="B27" s="6" t="s">
        <v>285</v>
      </c>
      <c r="C27" s="13">
        <v>378</v>
      </c>
      <c r="D27" s="6" t="s">
        <v>286</v>
      </c>
    </row>
    <row r="28" spans="1:4">
      <c r="A28" s="4">
        <v>21</v>
      </c>
      <c r="B28" s="6" t="s">
        <v>244</v>
      </c>
      <c r="C28" s="13">
        <v>378</v>
      </c>
      <c r="D28" s="6" t="s">
        <v>245</v>
      </c>
    </row>
    <row r="29" spans="1:4">
      <c r="A29" s="4">
        <v>22</v>
      </c>
      <c r="B29" s="6" t="s">
        <v>25</v>
      </c>
      <c r="C29" s="13">
        <v>378</v>
      </c>
      <c r="D29" s="6" t="s">
        <v>26</v>
      </c>
    </row>
    <row r="30" spans="1:4">
      <c r="A30" s="4">
        <v>23</v>
      </c>
      <c r="B30" s="6" t="s">
        <v>234</v>
      </c>
      <c r="C30" s="13">
        <v>378</v>
      </c>
      <c r="D30" s="6" t="s">
        <v>235</v>
      </c>
    </row>
    <row r="31" spans="1:4">
      <c r="A31" s="4">
        <v>24</v>
      </c>
      <c r="B31" s="6" t="s">
        <v>212</v>
      </c>
      <c r="C31" s="13">
        <v>378</v>
      </c>
      <c r="D31" s="6" t="s">
        <v>213</v>
      </c>
    </row>
    <row r="32" spans="1:4">
      <c r="A32" s="4">
        <v>25</v>
      </c>
      <c r="B32" s="6" t="s">
        <v>142</v>
      </c>
      <c r="C32" s="13">
        <v>378</v>
      </c>
      <c r="D32" s="6" t="s">
        <v>143</v>
      </c>
    </row>
    <row r="33" spans="1:4">
      <c r="A33" s="4">
        <v>26</v>
      </c>
      <c r="B33" s="6" t="s">
        <v>287</v>
      </c>
      <c r="C33" s="13">
        <v>378</v>
      </c>
      <c r="D33" s="6" t="s">
        <v>288</v>
      </c>
    </row>
    <row r="34" spans="1:4">
      <c r="A34" s="4">
        <v>27</v>
      </c>
      <c r="B34" s="6" t="s">
        <v>289</v>
      </c>
      <c r="C34" s="13">
        <v>378</v>
      </c>
      <c r="D34" s="6" t="s">
        <v>290</v>
      </c>
    </row>
    <row r="35" spans="1:4">
      <c r="A35" s="4">
        <v>28</v>
      </c>
      <c r="B35" s="6" t="s">
        <v>130</v>
      </c>
      <c r="C35" s="13">
        <v>378</v>
      </c>
      <c r="D35" s="6" t="s">
        <v>131</v>
      </c>
    </row>
    <row r="36" spans="1:4">
      <c r="A36" s="4">
        <v>29</v>
      </c>
      <c r="B36" s="6" t="s">
        <v>291</v>
      </c>
      <c r="C36" s="13">
        <v>378</v>
      </c>
      <c r="D36" s="6" t="s">
        <v>292</v>
      </c>
    </row>
    <row r="37" spans="1:4">
      <c r="A37" s="4">
        <v>30</v>
      </c>
      <c r="B37" s="6" t="s">
        <v>146</v>
      </c>
      <c r="C37" s="13">
        <v>378</v>
      </c>
      <c r="D37" s="6" t="s">
        <v>147</v>
      </c>
    </row>
    <row r="38" spans="1:4">
      <c r="A38" s="4">
        <v>31</v>
      </c>
      <c r="B38" s="6" t="s">
        <v>262</v>
      </c>
      <c r="C38" s="13">
        <v>378</v>
      </c>
      <c r="D38" s="6" t="s">
        <v>263</v>
      </c>
    </row>
    <row r="39" spans="1:4">
      <c r="A39" s="4">
        <v>32</v>
      </c>
      <c r="B39" s="6" t="s">
        <v>59</v>
      </c>
      <c r="C39" s="13">
        <v>378</v>
      </c>
      <c r="D39" s="6" t="s">
        <v>60</v>
      </c>
    </row>
    <row r="40" spans="1:4">
      <c r="A40" s="4">
        <v>33</v>
      </c>
      <c r="B40" s="6" t="s">
        <v>238</v>
      </c>
      <c r="C40" s="13">
        <v>378</v>
      </c>
      <c r="D40" s="6" t="s">
        <v>239</v>
      </c>
    </row>
    <row r="41" spans="1:4">
      <c r="A41" s="4">
        <v>34</v>
      </c>
      <c r="B41" s="6" t="s">
        <v>140</v>
      </c>
      <c r="C41" s="13">
        <v>378</v>
      </c>
      <c r="D41" s="6" t="s">
        <v>141</v>
      </c>
    </row>
    <row r="42" spans="1:4">
      <c r="A42" s="4">
        <v>35</v>
      </c>
      <c r="B42" s="6" t="s">
        <v>293</v>
      </c>
      <c r="C42" s="13">
        <v>378</v>
      </c>
      <c r="D42" s="6" t="s">
        <v>294</v>
      </c>
    </row>
    <row r="43" spans="1:4">
      <c r="A43" s="4">
        <v>36</v>
      </c>
      <c r="B43" s="6" t="s">
        <v>158</v>
      </c>
      <c r="C43" s="13">
        <v>378</v>
      </c>
      <c r="D43" s="6" t="s">
        <v>159</v>
      </c>
    </row>
    <row r="44" spans="1:4">
      <c r="A44" s="4">
        <v>37</v>
      </c>
      <c r="B44" s="6" t="s">
        <v>107</v>
      </c>
      <c r="C44" s="13">
        <v>378</v>
      </c>
      <c r="D44" s="6" t="s">
        <v>108</v>
      </c>
    </row>
    <row r="45" spans="1:4">
      <c r="A45" s="4">
        <v>38</v>
      </c>
      <c r="B45" s="6" t="s">
        <v>295</v>
      </c>
      <c r="C45" s="13">
        <v>378</v>
      </c>
      <c r="D45" s="6" t="s">
        <v>296</v>
      </c>
    </row>
    <row r="46" spans="1:4">
      <c r="A46" s="4">
        <v>39</v>
      </c>
      <c r="B46" s="6" t="s">
        <v>37</v>
      </c>
      <c r="C46" s="13">
        <v>378</v>
      </c>
      <c r="D46" s="6" t="s">
        <v>38</v>
      </c>
    </row>
    <row r="47" spans="1:4">
      <c r="A47" s="4">
        <v>40</v>
      </c>
      <c r="B47" s="6" t="s">
        <v>297</v>
      </c>
      <c r="C47" s="13">
        <v>378</v>
      </c>
      <c r="D47" s="6" t="s">
        <v>298</v>
      </c>
    </row>
    <row r="48" spans="1:4">
      <c r="A48" s="4">
        <v>41</v>
      </c>
      <c r="B48" s="6" t="s">
        <v>299</v>
      </c>
      <c r="C48" s="13">
        <v>378</v>
      </c>
      <c r="D48" s="6" t="s">
        <v>300</v>
      </c>
    </row>
    <row r="49" spans="1:4">
      <c r="A49" s="4">
        <v>42</v>
      </c>
      <c r="B49" s="6" t="s">
        <v>301</v>
      </c>
      <c r="C49" s="13">
        <v>378</v>
      </c>
      <c r="D49" s="6" t="s">
        <v>302</v>
      </c>
    </row>
    <row r="50" spans="1:4">
      <c r="A50" s="4">
        <v>43</v>
      </c>
      <c r="B50" s="6" t="s">
        <v>303</v>
      </c>
      <c r="C50" s="13">
        <v>378</v>
      </c>
      <c r="D50" s="6" t="s">
        <v>304</v>
      </c>
    </row>
    <row r="51" spans="1:4">
      <c r="A51" s="4">
        <v>44</v>
      </c>
      <c r="B51" s="6" t="s">
        <v>198</v>
      </c>
      <c r="C51" s="13">
        <v>378</v>
      </c>
      <c r="D51" s="6" t="s">
        <v>199</v>
      </c>
    </row>
    <row r="52" spans="1:4">
      <c r="A52" s="4">
        <v>45</v>
      </c>
      <c r="B52" s="6" t="s">
        <v>305</v>
      </c>
      <c r="C52" s="13">
        <v>378</v>
      </c>
      <c r="D52" s="6" t="s">
        <v>306</v>
      </c>
    </row>
    <row r="53" spans="1:4">
      <c r="A53" s="4">
        <v>46</v>
      </c>
      <c r="B53" s="6" t="s">
        <v>222</v>
      </c>
      <c r="C53" s="13">
        <v>378</v>
      </c>
      <c r="D53" s="6" t="s">
        <v>223</v>
      </c>
    </row>
    <row r="54" spans="1:4">
      <c r="A54" s="4">
        <v>47</v>
      </c>
      <c r="B54" s="6" t="s">
        <v>307</v>
      </c>
      <c r="C54" s="13">
        <v>378</v>
      </c>
      <c r="D54" s="6" t="s">
        <v>308</v>
      </c>
    </row>
    <row r="55" spans="1:4">
      <c r="A55" s="4">
        <v>48</v>
      </c>
      <c r="B55" s="6" t="s">
        <v>309</v>
      </c>
      <c r="C55" s="13">
        <v>378</v>
      </c>
      <c r="D55" s="6" t="s">
        <v>310</v>
      </c>
    </row>
    <row r="56" spans="1:4">
      <c r="A56" s="4">
        <v>49</v>
      </c>
      <c r="B56" s="6" t="s">
        <v>311</v>
      </c>
      <c r="C56" s="13">
        <v>378</v>
      </c>
      <c r="D56" s="6" t="s">
        <v>312</v>
      </c>
    </row>
    <row r="57" spans="1:4">
      <c r="A57" s="4">
        <v>50</v>
      </c>
      <c r="B57" s="6" t="s">
        <v>31</v>
      </c>
      <c r="C57" s="13">
        <v>378</v>
      </c>
      <c r="D57" s="6" t="s">
        <v>32</v>
      </c>
    </row>
    <row r="58" spans="1:4">
      <c r="A58" s="4">
        <v>51</v>
      </c>
      <c r="B58" s="6" t="s">
        <v>111</v>
      </c>
      <c r="C58" s="13">
        <v>378</v>
      </c>
      <c r="D58" s="6" t="s">
        <v>112</v>
      </c>
    </row>
    <row r="59" spans="1:4">
      <c r="A59" s="4">
        <v>52</v>
      </c>
      <c r="B59" s="6" t="s">
        <v>83</v>
      </c>
      <c r="C59" s="13">
        <v>378</v>
      </c>
      <c r="D59" s="6" t="s">
        <v>84</v>
      </c>
    </row>
    <row r="60" spans="1:4">
      <c r="A60" s="4">
        <v>53</v>
      </c>
      <c r="B60" s="6" t="s">
        <v>313</v>
      </c>
      <c r="C60" s="13">
        <v>378</v>
      </c>
      <c r="D60" s="6" t="s">
        <v>314</v>
      </c>
    </row>
    <row r="61" spans="1:4">
      <c r="A61" s="4">
        <v>54</v>
      </c>
      <c r="B61" s="6" t="s">
        <v>315</v>
      </c>
      <c r="C61" s="13">
        <v>378</v>
      </c>
      <c r="D61" s="6" t="s">
        <v>316</v>
      </c>
    </row>
    <row r="62" spans="1:4">
      <c r="A62" s="4">
        <v>55</v>
      </c>
      <c r="B62" s="6" t="s">
        <v>242</v>
      </c>
      <c r="C62" s="13">
        <v>378</v>
      </c>
      <c r="D62" s="6" t="s">
        <v>243</v>
      </c>
    </row>
    <row r="63" spans="1:4">
      <c r="A63" s="4">
        <v>56</v>
      </c>
      <c r="B63" s="6" t="s">
        <v>317</v>
      </c>
      <c r="C63" s="13">
        <v>378</v>
      </c>
      <c r="D63" s="6" t="s">
        <v>318</v>
      </c>
    </row>
    <row r="64" spans="1:4">
      <c r="A64" s="4">
        <v>57</v>
      </c>
      <c r="B64" s="6" t="s">
        <v>67</v>
      </c>
      <c r="C64" s="13">
        <v>378</v>
      </c>
      <c r="D64" s="6" t="s">
        <v>68</v>
      </c>
    </row>
    <row r="65" spans="1:4">
      <c r="A65" s="4">
        <v>58</v>
      </c>
      <c r="B65" s="6" t="s">
        <v>319</v>
      </c>
      <c r="C65" s="13">
        <v>378</v>
      </c>
      <c r="D65" s="6" t="s">
        <v>320</v>
      </c>
    </row>
    <row r="66" spans="1:4">
      <c r="A66" s="4">
        <v>59</v>
      </c>
      <c r="B66" s="6" t="s">
        <v>252</v>
      </c>
      <c r="C66" s="13">
        <v>378</v>
      </c>
      <c r="D66" s="6" t="s">
        <v>253</v>
      </c>
    </row>
    <row r="67" spans="1:4">
      <c r="A67" s="4">
        <v>60</v>
      </c>
      <c r="B67" s="6" t="s">
        <v>321</v>
      </c>
      <c r="C67" s="13">
        <v>378</v>
      </c>
      <c r="D67" s="6" t="s">
        <v>322</v>
      </c>
    </row>
    <row r="68" spans="1:4">
      <c r="A68" s="4">
        <v>61</v>
      </c>
      <c r="B68" s="6" t="s">
        <v>323</v>
      </c>
      <c r="C68" s="13">
        <v>378</v>
      </c>
      <c r="D68" s="6" t="s">
        <v>324</v>
      </c>
    </row>
    <row r="69" spans="1:4">
      <c r="A69" s="4">
        <v>62</v>
      </c>
      <c r="B69" s="6" t="s">
        <v>99</v>
      </c>
      <c r="C69" s="13">
        <v>378</v>
      </c>
      <c r="D69" s="6" t="s">
        <v>100</v>
      </c>
    </row>
    <row r="70" spans="1:4">
      <c r="A70" s="4">
        <v>63</v>
      </c>
      <c r="B70" s="6" t="s">
        <v>19</v>
      </c>
      <c r="C70" s="13">
        <v>378</v>
      </c>
      <c r="D70" s="6" t="s">
        <v>20</v>
      </c>
    </row>
    <row r="71" spans="1:4">
      <c r="A71" s="4">
        <v>64</v>
      </c>
      <c r="B71" s="6" t="s">
        <v>325</v>
      </c>
      <c r="C71" s="13">
        <v>378</v>
      </c>
      <c r="D71" s="6" t="s">
        <v>326</v>
      </c>
    </row>
    <row r="72" spans="1:4">
      <c r="A72" s="4">
        <v>65</v>
      </c>
      <c r="B72" s="6" t="s">
        <v>57</v>
      </c>
      <c r="C72" s="13">
        <v>10</v>
      </c>
      <c r="D72" s="6" t="s">
        <v>58</v>
      </c>
    </row>
    <row r="73" spans="1:4">
      <c r="A73" s="4">
        <v>66</v>
      </c>
      <c r="B73" s="6" t="s">
        <v>89</v>
      </c>
      <c r="C73" s="13">
        <v>10</v>
      </c>
      <c r="D73" s="6" t="s">
        <v>90</v>
      </c>
    </row>
    <row r="74" spans="1:4">
      <c r="A74" s="4">
        <v>67</v>
      </c>
      <c r="B74" s="6" t="s">
        <v>327</v>
      </c>
      <c r="C74" s="13">
        <v>10</v>
      </c>
      <c r="D74" s="6" t="s">
        <v>328</v>
      </c>
    </row>
    <row r="75" spans="1:4">
      <c r="A75" s="4">
        <v>68</v>
      </c>
      <c r="B75" s="6" t="s">
        <v>329</v>
      </c>
      <c r="C75" s="13">
        <v>10</v>
      </c>
      <c r="D75" s="6" t="s">
        <v>330</v>
      </c>
    </row>
    <row r="76" spans="1:4">
      <c r="A76" s="4">
        <v>69</v>
      </c>
      <c r="B76" s="6" t="s">
        <v>331</v>
      </c>
      <c r="C76" s="13">
        <v>10</v>
      </c>
      <c r="D76" s="6" t="s">
        <v>332</v>
      </c>
    </row>
    <row r="77" spans="1:4">
      <c r="A77" s="4">
        <v>70</v>
      </c>
      <c r="B77" s="6" t="s">
        <v>115</v>
      </c>
      <c r="C77" s="13">
        <v>10</v>
      </c>
      <c r="D77" s="6" t="s">
        <v>116</v>
      </c>
    </row>
    <row r="78" spans="1:4">
      <c r="A78" s="4">
        <v>71</v>
      </c>
      <c r="B78" s="6" t="s">
        <v>236</v>
      </c>
      <c r="C78" s="13">
        <v>10</v>
      </c>
      <c r="D78" s="6" t="s">
        <v>237</v>
      </c>
    </row>
    <row r="79" spans="1:4">
      <c r="A79" s="4">
        <v>72</v>
      </c>
      <c r="B79" s="6" t="s">
        <v>202</v>
      </c>
      <c r="C79" s="13">
        <v>10</v>
      </c>
      <c r="D79" s="6" t="s">
        <v>203</v>
      </c>
    </row>
    <row r="80" spans="1:4">
      <c r="A80" s="4">
        <v>73</v>
      </c>
      <c r="B80" s="6" t="s">
        <v>232</v>
      </c>
      <c r="C80" s="13">
        <v>10</v>
      </c>
      <c r="D80" s="6" t="s">
        <v>233</v>
      </c>
    </row>
    <row r="81" spans="1:4">
      <c r="A81" s="4">
        <v>74</v>
      </c>
      <c r="B81" s="6" t="s">
        <v>200</v>
      </c>
      <c r="C81" s="13">
        <v>10</v>
      </c>
      <c r="D81" s="6" t="s">
        <v>201</v>
      </c>
    </row>
    <row r="82" spans="1:4">
      <c r="A82" s="4">
        <v>75</v>
      </c>
      <c r="B82" s="6" t="s">
        <v>226</v>
      </c>
      <c r="C82" s="13">
        <v>10</v>
      </c>
      <c r="D82" s="6" t="s">
        <v>227</v>
      </c>
    </row>
    <row r="83" spans="1:4">
      <c r="A83" s="4">
        <v>76</v>
      </c>
      <c r="B83" s="6" t="s">
        <v>228</v>
      </c>
      <c r="C83" s="13">
        <v>10</v>
      </c>
      <c r="D83" s="6" t="s">
        <v>229</v>
      </c>
    </row>
    <row r="84" spans="1:4">
      <c r="A84" s="4">
        <v>77</v>
      </c>
      <c r="B84" s="6" t="s">
        <v>333</v>
      </c>
      <c r="C84" s="13">
        <v>10</v>
      </c>
      <c r="D84" s="6" t="s">
        <v>334</v>
      </c>
    </row>
    <row r="85" spans="1:4">
      <c r="A85" s="4">
        <v>78</v>
      </c>
      <c r="B85" s="6" t="s">
        <v>335</v>
      </c>
      <c r="C85" s="13">
        <v>10</v>
      </c>
      <c r="D85" s="6" t="s">
        <v>336</v>
      </c>
    </row>
    <row r="86" spans="1:4">
      <c r="A86" s="4">
        <v>79</v>
      </c>
      <c r="B86" s="6" t="s">
        <v>337</v>
      </c>
      <c r="C86" s="13">
        <v>10</v>
      </c>
      <c r="D86" s="6" t="s">
        <v>338</v>
      </c>
    </row>
    <row r="87" spans="1:4">
      <c r="A87" s="4" t="s">
        <v>119</v>
      </c>
      <c r="B87" s="6" t="s">
        <v>339</v>
      </c>
      <c r="C87" s="13">
        <v>10</v>
      </c>
      <c r="D87" s="6" t="s">
        <v>340</v>
      </c>
    </row>
    <row r="88" spans="1:4">
      <c r="A88" s="4" t="s">
        <v>119</v>
      </c>
      <c r="B88" s="6" t="s">
        <v>204</v>
      </c>
      <c r="C88" s="13">
        <v>10</v>
      </c>
      <c r="D88" s="6" t="s">
        <v>205</v>
      </c>
    </row>
    <row r="89" spans="1:4">
      <c r="A89" s="4" t="s">
        <v>119</v>
      </c>
      <c r="B89" s="6" t="s">
        <v>176</v>
      </c>
      <c r="C89" s="13">
        <v>10</v>
      </c>
      <c r="D89" s="6" t="s">
        <v>177</v>
      </c>
    </row>
    <row r="90" spans="1:4">
      <c r="A90" s="4" t="s">
        <v>119</v>
      </c>
      <c r="B90" s="6" t="s">
        <v>341</v>
      </c>
      <c r="C90" s="13">
        <v>10</v>
      </c>
      <c r="D90" s="6" t="s">
        <v>342</v>
      </c>
    </row>
    <row r="91" spans="1:4">
      <c r="A91" s="4" t="s">
        <v>119</v>
      </c>
      <c r="B91" s="6" t="s">
        <v>343</v>
      </c>
      <c r="C91" s="13">
        <v>10</v>
      </c>
      <c r="D91" s="6" t="s">
        <v>344</v>
      </c>
    </row>
    <row r="92" spans="1:4">
      <c r="A92" s="4" t="s">
        <v>119</v>
      </c>
      <c r="B92" s="6" t="s">
        <v>345</v>
      </c>
      <c r="C92" s="13">
        <v>10</v>
      </c>
      <c r="D92" s="6" t="s">
        <v>346</v>
      </c>
    </row>
    <row r="93" spans="1:4">
      <c r="A93" s="4" t="s">
        <v>119</v>
      </c>
      <c r="B93" s="6" t="s">
        <v>347</v>
      </c>
      <c r="C93" s="13">
        <v>10</v>
      </c>
      <c r="D93" s="6" t="s">
        <v>348</v>
      </c>
    </row>
    <row r="94" spans="1:4">
      <c r="A94" s="4" t="s">
        <v>119</v>
      </c>
      <c r="B94" s="6" t="s">
        <v>349</v>
      </c>
      <c r="C94" s="13">
        <v>10</v>
      </c>
      <c r="D94" s="6" t="s">
        <v>350</v>
      </c>
    </row>
    <row r="95" spans="1:4">
      <c r="A95" s="4" t="s">
        <v>119</v>
      </c>
      <c r="B95" s="6" t="s">
        <v>351</v>
      </c>
      <c r="C95" s="13">
        <v>10</v>
      </c>
      <c r="D95" s="6" t="s">
        <v>352</v>
      </c>
    </row>
    <row r="96" spans="1:4">
      <c r="A96" s="4" t="s">
        <v>119</v>
      </c>
      <c r="B96" s="6" t="s">
        <v>65</v>
      </c>
      <c r="C96" s="13">
        <v>10</v>
      </c>
      <c r="D96" s="6" t="s">
        <v>66</v>
      </c>
    </row>
    <row r="97" spans="1:4">
      <c r="A97" s="4" t="s">
        <v>119</v>
      </c>
      <c r="B97" s="6" t="s">
        <v>353</v>
      </c>
      <c r="C97" s="13">
        <v>10</v>
      </c>
      <c r="D97" s="6" t="s">
        <v>354</v>
      </c>
    </row>
    <row r="98" spans="1:4">
      <c r="A98" s="4" t="s">
        <v>119</v>
      </c>
      <c r="B98" s="6" t="s">
        <v>355</v>
      </c>
      <c r="C98" s="13">
        <v>10</v>
      </c>
      <c r="D98" s="6" t="s">
        <v>356</v>
      </c>
    </row>
    <row r="99" spans="1:4">
      <c r="A99" s="4" t="s">
        <v>119</v>
      </c>
      <c r="B99" s="6" t="s">
        <v>357</v>
      </c>
      <c r="C99" s="13">
        <v>10</v>
      </c>
      <c r="D99" s="6" t="s">
        <v>358</v>
      </c>
    </row>
    <row r="100" spans="1:4">
      <c r="A100" s="4" t="s">
        <v>119</v>
      </c>
      <c r="B100" s="6" t="s">
        <v>190</v>
      </c>
      <c r="C100" s="13">
        <v>10</v>
      </c>
      <c r="D100" s="6" t="s">
        <v>191</v>
      </c>
    </row>
    <row r="101" spans="1:4">
      <c r="A101" s="4" t="s">
        <v>119</v>
      </c>
      <c r="B101" s="6" t="s">
        <v>359</v>
      </c>
      <c r="C101" s="13">
        <v>10</v>
      </c>
      <c r="D101" s="6" t="s">
        <v>360</v>
      </c>
    </row>
    <row r="102" spans="1:4">
      <c r="A102" s="4" t="s">
        <v>119</v>
      </c>
      <c r="B102" s="6" t="s">
        <v>120</v>
      </c>
      <c r="C102" s="13">
        <v>10</v>
      </c>
      <c r="D102" s="6" t="s">
        <v>121</v>
      </c>
    </row>
    <row r="103" spans="1:4">
      <c r="A103" s="4" t="s">
        <v>119</v>
      </c>
      <c r="B103" s="6" t="s">
        <v>361</v>
      </c>
      <c r="C103" s="13">
        <v>10</v>
      </c>
      <c r="D103" s="6" t="s">
        <v>362</v>
      </c>
    </row>
    <row r="104" spans="1:4">
      <c r="A104" s="4" t="s">
        <v>119</v>
      </c>
      <c r="B104" s="6" t="s">
        <v>363</v>
      </c>
      <c r="C104" s="13">
        <v>10</v>
      </c>
      <c r="D104" s="6" t="s">
        <v>364</v>
      </c>
    </row>
    <row r="105" spans="1:4">
      <c r="A105" s="4" t="s">
        <v>119</v>
      </c>
      <c r="B105" s="6" t="s">
        <v>61</v>
      </c>
      <c r="C105" s="13">
        <v>10</v>
      </c>
      <c r="D105" s="6" t="s">
        <v>62</v>
      </c>
    </row>
    <row r="106" spans="1:4">
      <c r="A106" s="4" t="s">
        <v>119</v>
      </c>
      <c r="B106" s="6" t="s">
        <v>365</v>
      </c>
      <c r="C106" s="13">
        <v>10</v>
      </c>
      <c r="D106" s="6" t="s">
        <v>366</v>
      </c>
    </row>
    <row r="107" spans="1:4">
      <c r="A107" s="4" t="s">
        <v>119</v>
      </c>
      <c r="B107" s="6" t="s">
        <v>367</v>
      </c>
      <c r="C107" s="13">
        <v>10</v>
      </c>
      <c r="D107" s="6" t="s">
        <v>368</v>
      </c>
    </row>
    <row r="108" spans="1:4">
      <c r="A108" s="4" t="s">
        <v>119</v>
      </c>
      <c r="B108" s="6" t="s">
        <v>180</v>
      </c>
      <c r="C108" s="13">
        <v>10</v>
      </c>
      <c r="D108" s="6" t="s">
        <v>181</v>
      </c>
    </row>
    <row r="109" spans="1:4">
      <c r="A109" s="4" t="s">
        <v>119</v>
      </c>
      <c r="B109" s="6" t="s">
        <v>369</v>
      </c>
      <c r="C109" s="13">
        <v>10</v>
      </c>
      <c r="D109" s="6" t="s">
        <v>370</v>
      </c>
    </row>
    <row r="110" spans="1:4">
      <c r="A110" s="4" t="s">
        <v>119</v>
      </c>
      <c r="B110" s="6" t="s">
        <v>371</v>
      </c>
      <c r="C110" s="13">
        <v>10</v>
      </c>
      <c r="D110" s="6" t="s">
        <v>372</v>
      </c>
    </row>
    <row r="111" spans="1:4">
      <c r="A111" s="4" t="s">
        <v>119</v>
      </c>
      <c r="B111" s="6" t="s">
        <v>373</v>
      </c>
      <c r="C111" s="13">
        <v>10</v>
      </c>
      <c r="D111" s="6" t="s">
        <v>374</v>
      </c>
    </row>
    <row r="112" spans="1:4">
      <c r="A112" s="4" t="s">
        <v>119</v>
      </c>
      <c r="B112" s="6" t="s">
        <v>375</v>
      </c>
      <c r="C112" s="13">
        <v>10</v>
      </c>
      <c r="D112" s="6" t="s">
        <v>376</v>
      </c>
    </row>
    <row r="113" spans="1:4">
      <c r="A113" s="4" t="s">
        <v>119</v>
      </c>
      <c r="B113" s="6" t="s">
        <v>55</v>
      </c>
      <c r="C113" s="13">
        <v>10</v>
      </c>
      <c r="D113" s="6" t="s">
        <v>56</v>
      </c>
    </row>
    <row r="114" spans="1:4">
      <c r="A114" s="4" t="s">
        <v>119</v>
      </c>
      <c r="B114" s="6" t="s">
        <v>377</v>
      </c>
      <c r="C114" s="13">
        <v>10</v>
      </c>
      <c r="D114" s="6" t="s">
        <v>378</v>
      </c>
    </row>
    <row r="115" spans="1:4">
      <c r="A115" s="4" t="s">
        <v>119</v>
      </c>
      <c r="B115" s="6" t="s">
        <v>122</v>
      </c>
      <c r="C115" s="13">
        <v>10</v>
      </c>
      <c r="D115" s="6" t="s">
        <v>123</v>
      </c>
    </row>
    <row r="116" spans="1:4">
      <c r="A116" s="4" t="s">
        <v>119</v>
      </c>
      <c r="B116" s="6" t="s">
        <v>379</v>
      </c>
      <c r="C116" s="13">
        <v>10</v>
      </c>
      <c r="D116" s="6" t="s">
        <v>380</v>
      </c>
    </row>
    <row r="117" spans="1:4">
      <c r="A117" s="4" t="s">
        <v>119</v>
      </c>
      <c r="B117" s="6" t="s">
        <v>381</v>
      </c>
      <c r="C117" s="13">
        <v>10</v>
      </c>
      <c r="D117" s="6" t="s">
        <v>382</v>
      </c>
    </row>
    <row r="118" spans="1:4">
      <c r="A118" s="4" t="s">
        <v>119</v>
      </c>
      <c r="B118" s="6" t="s">
        <v>41</v>
      </c>
      <c r="C118" s="13">
        <v>10</v>
      </c>
      <c r="D118" s="6" t="s">
        <v>42</v>
      </c>
    </row>
    <row r="119" spans="1:4">
      <c r="A119" s="4" t="s">
        <v>119</v>
      </c>
      <c r="B119" s="6" t="s">
        <v>383</v>
      </c>
      <c r="C119" s="13">
        <v>10</v>
      </c>
      <c r="D119" s="6" t="s">
        <v>384</v>
      </c>
    </row>
    <row r="120" spans="1:4">
      <c r="A120" s="4" t="s">
        <v>119</v>
      </c>
      <c r="B120" s="6" t="s">
        <v>63</v>
      </c>
      <c r="C120" s="13">
        <v>10</v>
      </c>
      <c r="D120" s="6" t="s">
        <v>64</v>
      </c>
    </row>
    <row r="121" spans="1:4">
      <c r="A121" s="4" t="s">
        <v>119</v>
      </c>
      <c r="B121" s="6" t="s">
        <v>124</v>
      </c>
      <c r="C121" s="13">
        <v>10</v>
      </c>
      <c r="D121" s="6" t="s">
        <v>125</v>
      </c>
    </row>
    <row r="122" spans="1:4">
      <c r="A122" s="4" t="s">
        <v>119</v>
      </c>
      <c r="B122" s="6" t="s">
        <v>73</v>
      </c>
      <c r="C122" s="13">
        <v>10</v>
      </c>
      <c r="D122" s="6" t="s">
        <v>74</v>
      </c>
    </row>
    <row r="123" spans="1:4">
      <c r="A123" s="4" t="s">
        <v>119</v>
      </c>
      <c r="B123" s="6" t="s">
        <v>126</v>
      </c>
      <c r="C123" s="13">
        <v>10</v>
      </c>
      <c r="D123" s="6" t="s">
        <v>127</v>
      </c>
    </row>
    <row r="124" spans="1:4">
      <c r="A124" s="4" t="s">
        <v>119</v>
      </c>
      <c r="B124" s="6" t="s">
        <v>385</v>
      </c>
      <c r="C124" s="13">
        <v>10</v>
      </c>
      <c r="D124" s="6" t="s">
        <v>386</v>
      </c>
    </row>
    <row r="125" spans="1:4">
      <c r="A125" s="4" t="s">
        <v>119</v>
      </c>
      <c r="B125" s="6" t="s">
        <v>387</v>
      </c>
      <c r="C125" s="13">
        <v>10</v>
      </c>
      <c r="D125" s="6" t="s">
        <v>388</v>
      </c>
    </row>
    <row r="126" spans="1:4">
      <c r="A126" s="4" t="s">
        <v>119</v>
      </c>
      <c r="B126" s="6" t="s">
        <v>389</v>
      </c>
      <c r="C126" s="13">
        <v>10</v>
      </c>
      <c r="D126" s="6" t="s">
        <v>390</v>
      </c>
    </row>
    <row r="127" spans="1:4">
      <c r="A127" s="4" t="s">
        <v>119</v>
      </c>
      <c r="B127" s="6" t="s">
        <v>391</v>
      </c>
      <c r="C127" s="13">
        <v>10</v>
      </c>
      <c r="D127" s="6" t="s">
        <v>392</v>
      </c>
    </row>
    <row r="128" spans="1:4">
      <c r="A128" s="4" t="s">
        <v>119</v>
      </c>
      <c r="B128" s="6" t="s">
        <v>128</v>
      </c>
      <c r="C128" s="13">
        <v>10</v>
      </c>
      <c r="D128" s="6" t="s">
        <v>129</v>
      </c>
    </row>
    <row r="129" spans="1:4">
      <c r="A129" s="4" t="s">
        <v>119</v>
      </c>
      <c r="B129" s="6" t="s">
        <v>393</v>
      </c>
      <c r="C129" s="13">
        <v>10</v>
      </c>
      <c r="D129" s="6" t="s">
        <v>394</v>
      </c>
    </row>
    <row r="130" spans="1:4">
      <c r="A130" s="4" t="s">
        <v>119</v>
      </c>
      <c r="B130" s="6" t="s">
        <v>395</v>
      </c>
      <c r="C130" s="13">
        <v>10</v>
      </c>
      <c r="D130" s="6" t="s">
        <v>396</v>
      </c>
    </row>
    <row r="131" spans="1:4">
      <c r="A131" s="4" t="s">
        <v>119</v>
      </c>
      <c r="B131" s="6" t="s">
        <v>397</v>
      </c>
      <c r="C131" s="13">
        <v>10</v>
      </c>
      <c r="D131" s="6" t="s">
        <v>398</v>
      </c>
    </row>
    <row r="132" spans="1:4">
      <c r="A132" s="4" t="s">
        <v>119</v>
      </c>
      <c r="B132" s="6" t="s">
        <v>182</v>
      </c>
      <c r="C132" s="13">
        <v>10</v>
      </c>
      <c r="D132" s="6" t="s">
        <v>183</v>
      </c>
    </row>
    <row r="133" spans="1:4">
      <c r="A133" s="4" t="s">
        <v>119</v>
      </c>
      <c r="B133" s="6" t="s">
        <v>399</v>
      </c>
      <c r="C133" s="13">
        <v>10</v>
      </c>
      <c r="D133" s="6" t="s">
        <v>400</v>
      </c>
    </row>
    <row r="134" spans="1:4">
      <c r="A134" s="4" t="s">
        <v>119</v>
      </c>
      <c r="B134" s="6" t="s">
        <v>401</v>
      </c>
      <c r="C134" s="13">
        <v>10</v>
      </c>
      <c r="D134" s="6" t="s">
        <v>402</v>
      </c>
    </row>
    <row r="135" spans="1:4">
      <c r="A135" s="4" t="s">
        <v>119</v>
      </c>
      <c r="B135" s="6" t="s">
        <v>403</v>
      </c>
      <c r="C135" s="13">
        <v>10</v>
      </c>
      <c r="D135" s="6" t="s">
        <v>404</v>
      </c>
    </row>
    <row r="136" spans="1:4">
      <c r="A136" s="4" t="s">
        <v>119</v>
      </c>
      <c r="B136" s="6" t="s">
        <v>87</v>
      </c>
      <c r="C136" s="13">
        <v>10</v>
      </c>
      <c r="D136" s="6" t="s">
        <v>88</v>
      </c>
    </row>
    <row r="137" spans="1:4">
      <c r="A137" s="4" t="s">
        <v>119</v>
      </c>
      <c r="B137" s="6" t="s">
        <v>132</v>
      </c>
      <c r="C137" s="13">
        <v>10</v>
      </c>
      <c r="D137" s="6" t="s">
        <v>133</v>
      </c>
    </row>
    <row r="138" spans="1:4">
      <c r="A138" s="4" t="s">
        <v>119</v>
      </c>
      <c r="B138" s="6" t="s">
        <v>405</v>
      </c>
      <c r="C138" s="13">
        <v>10</v>
      </c>
      <c r="D138" s="6" t="s">
        <v>406</v>
      </c>
    </row>
    <row r="139" spans="1:4">
      <c r="A139" s="4" t="s">
        <v>119</v>
      </c>
      <c r="B139" s="6" t="s">
        <v>91</v>
      </c>
      <c r="C139" s="13">
        <v>10</v>
      </c>
      <c r="D139" s="6" t="s">
        <v>92</v>
      </c>
    </row>
    <row r="140" spans="1:4">
      <c r="A140" s="4" t="s">
        <v>119</v>
      </c>
      <c r="B140" s="6" t="s">
        <v>407</v>
      </c>
      <c r="C140" s="13">
        <v>10</v>
      </c>
      <c r="D140" s="6" t="s">
        <v>408</v>
      </c>
    </row>
    <row r="141" spans="1:4">
      <c r="A141" s="4" t="s">
        <v>119</v>
      </c>
      <c r="B141" s="6" t="s">
        <v>409</v>
      </c>
      <c r="C141" s="13">
        <v>10</v>
      </c>
      <c r="D141" s="6" t="s">
        <v>410</v>
      </c>
    </row>
    <row r="142" spans="1:4">
      <c r="A142" s="4" t="s">
        <v>119</v>
      </c>
      <c r="B142" s="6" t="s">
        <v>411</v>
      </c>
      <c r="C142" s="13">
        <v>10</v>
      </c>
      <c r="D142" s="6" t="s">
        <v>412</v>
      </c>
    </row>
    <row r="143" spans="1:4">
      <c r="A143" s="4" t="s">
        <v>119</v>
      </c>
      <c r="B143" s="6" t="s">
        <v>260</v>
      </c>
      <c r="C143" s="13">
        <v>10</v>
      </c>
      <c r="D143" s="6" t="s">
        <v>261</v>
      </c>
    </row>
    <row r="144" spans="1:4">
      <c r="A144" s="4" t="s">
        <v>119</v>
      </c>
      <c r="B144" s="6" t="s">
        <v>413</v>
      </c>
      <c r="C144" s="13">
        <v>10</v>
      </c>
      <c r="D144" s="6" t="s">
        <v>414</v>
      </c>
    </row>
    <row r="145" spans="1:4">
      <c r="A145" s="4" t="s">
        <v>119</v>
      </c>
      <c r="B145" s="6" t="s">
        <v>415</v>
      </c>
      <c r="C145" s="13">
        <v>10</v>
      </c>
      <c r="D145" s="6" t="s">
        <v>416</v>
      </c>
    </row>
    <row r="146" spans="1:4">
      <c r="A146" s="4" t="s">
        <v>119</v>
      </c>
      <c r="B146" s="6" t="s">
        <v>216</v>
      </c>
      <c r="C146" s="13">
        <v>10</v>
      </c>
      <c r="D146" s="6" t="s">
        <v>217</v>
      </c>
    </row>
    <row r="147" spans="1:4">
      <c r="A147" s="4" t="s">
        <v>119</v>
      </c>
      <c r="B147" s="6" t="s">
        <v>134</v>
      </c>
      <c r="C147" s="13">
        <v>10</v>
      </c>
      <c r="D147" s="6" t="s">
        <v>135</v>
      </c>
    </row>
    <row r="148" spans="1:4">
      <c r="A148" s="4" t="s">
        <v>119</v>
      </c>
      <c r="B148" s="6" t="s">
        <v>417</v>
      </c>
      <c r="C148" s="13">
        <v>10</v>
      </c>
      <c r="D148" s="6" t="s">
        <v>418</v>
      </c>
    </row>
    <row r="149" spans="1:4">
      <c r="A149" s="4" t="s">
        <v>119</v>
      </c>
      <c r="B149" s="6" t="s">
        <v>136</v>
      </c>
      <c r="C149" s="13">
        <v>10</v>
      </c>
      <c r="D149" s="6" t="s">
        <v>137</v>
      </c>
    </row>
    <row r="150" spans="1:4">
      <c r="A150" s="4" t="s">
        <v>119</v>
      </c>
      <c r="B150" s="6" t="s">
        <v>419</v>
      </c>
      <c r="C150" s="13">
        <v>10</v>
      </c>
      <c r="D150" s="6" t="s">
        <v>420</v>
      </c>
    </row>
    <row r="151" spans="1:4">
      <c r="A151" s="4" t="s">
        <v>119</v>
      </c>
      <c r="B151" s="6" t="s">
        <v>138</v>
      </c>
      <c r="C151" s="13">
        <v>10</v>
      </c>
      <c r="D151" s="6" t="s">
        <v>139</v>
      </c>
    </row>
    <row r="152" spans="1:4">
      <c r="A152" s="4" t="s">
        <v>119</v>
      </c>
      <c r="B152" s="6" t="s">
        <v>421</v>
      </c>
      <c r="C152" s="13">
        <v>10</v>
      </c>
      <c r="D152" s="6" t="s">
        <v>422</v>
      </c>
    </row>
    <row r="153" spans="1:4">
      <c r="A153" s="4" t="s">
        <v>119</v>
      </c>
      <c r="B153" s="6" t="s">
        <v>423</v>
      </c>
      <c r="C153" s="13">
        <v>10</v>
      </c>
      <c r="D153" s="6" t="s">
        <v>424</v>
      </c>
    </row>
    <row r="154" spans="1:4">
      <c r="A154" s="4" t="s">
        <v>119</v>
      </c>
      <c r="B154" s="6" t="s">
        <v>425</v>
      </c>
      <c r="C154" s="13">
        <v>10</v>
      </c>
      <c r="D154" s="6" t="s">
        <v>426</v>
      </c>
    </row>
    <row r="155" spans="1:4">
      <c r="A155" s="4" t="s">
        <v>119</v>
      </c>
      <c r="B155" s="6" t="s">
        <v>427</v>
      </c>
      <c r="C155" s="13">
        <v>10</v>
      </c>
      <c r="D155" s="6" t="s">
        <v>428</v>
      </c>
    </row>
    <row r="156" spans="1:4">
      <c r="A156" s="4" t="s">
        <v>119</v>
      </c>
      <c r="B156" s="6" t="s">
        <v>51</v>
      </c>
      <c r="C156" s="13">
        <v>10</v>
      </c>
      <c r="D156" s="6" t="s">
        <v>52</v>
      </c>
    </row>
    <row r="157" spans="1:4">
      <c r="A157" s="4" t="s">
        <v>119</v>
      </c>
      <c r="B157" s="6" t="s">
        <v>429</v>
      </c>
      <c r="C157" s="13">
        <v>10</v>
      </c>
      <c r="D157" s="6" t="s">
        <v>430</v>
      </c>
    </row>
    <row r="158" spans="1:4">
      <c r="A158" s="4" t="s">
        <v>119</v>
      </c>
      <c r="B158" s="6" t="s">
        <v>39</v>
      </c>
      <c r="C158" s="13">
        <v>10</v>
      </c>
      <c r="D158" s="6" t="s">
        <v>40</v>
      </c>
    </row>
    <row r="159" spans="1:4">
      <c r="A159" s="4" t="s">
        <v>119</v>
      </c>
      <c r="B159" s="6" t="s">
        <v>431</v>
      </c>
      <c r="C159" s="13">
        <v>10</v>
      </c>
      <c r="D159" s="6" t="s">
        <v>432</v>
      </c>
    </row>
    <row r="160" spans="1:4">
      <c r="A160" s="4" t="s">
        <v>119</v>
      </c>
      <c r="B160" s="6" t="s">
        <v>433</v>
      </c>
      <c r="C160" s="13">
        <v>10</v>
      </c>
      <c r="D160" s="6" t="s">
        <v>434</v>
      </c>
    </row>
    <row r="161" spans="1:4">
      <c r="A161" s="4" t="s">
        <v>119</v>
      </c>
      <c r="B161" s="6" t="s">
        <v>103</v>
      </c>
      <c r="C161" s="13">
        <v>10</v>
      </c>
      <c r="D161" s="6" t="s">
        <v>104</v>
      </c>
    </row>
    <row r="162" spans="1:4">
      <c r="A162" s="4" t="s">
        <v>119</v>
      </c>
      <c r="B162" s="6" t="s">
        <v>246</v>
      </c>
      <c r="C162" s="13">
        <v>10</v>
      </c>
      <c r="D162" s="6" t="s">
        <v>247</v>
      </c>
    </row>
    <row r="163" spans="1:4">
      <c r="A163" s="4" t="s">
        <v>119</v>
      </c>
      <c r="B163" s="6" t="s">
        <v>192</v>
      </c>
      <c r="C163" s="13">
        <v>10</v>
      </c>
      <c r="D163" s="6" t="s">
        <v>193</v>
      </c>
    </row>
    <row r="164" spans="1:4">
      <c r="A164" s="4" t="s">
        <v>119</v>
      </c>
      <c r="B164" s="6" t="s">
        <v>53</v>
      </c>
      <c r="C164" s="13">
        <v>10</v>
      </c>
      <c r="D164" s="6" t="s">
        <v>54</v>
      </c>
    </row>
    <row r="165" spans="1:4">
      <c r="A165" s="4" t="s">
        <v>119</v>
      </c>
      <c r="B165" s="6" t="s">
        <v>435</v>
      </c>
      <c r="C165" s="13">
        <v>10</v>
      </c>
      <c r="D165" s="6" t="s">
        <v>436</v>
      </c>
    </row>
    <row r="166" spans="1:4">
      <c r="A166" s="4" t="s">
        <v>119</v>
      </c>
      <c r="B166" s="6" t="s">
        <v>188</v>
      </c>
      <c r="C166" s="13">
        <v>10</v>
      </c>
      <c r="D166" s="6" t="s">
        <v>189</v>
      </c>
    </row>
    <row r="167" spans="1:4">
      <c r="A167" s="4" t="s">
        <v>119</v>
      </c>
      <c r="B167" s="6" t="s">
        <v>437</v>
      </c>
      <c r="C167" s="13">
        <v>10</v>
      </c>
      <c r="D167" s="6" t="s">
        <v>438</v>
      </c>
    </row>
    <row r="168" spans="1:4">
      <c r="A168" s="4" t="s">
        <v>119</v>
      </c>
      <c r="B168" s="6" t="s">
        <v>439</v>
      </c>
      <c r="C168" s="13">
        <v>10</v>
      </c>
      <c r="D168" s="6" t="s">
        <v>440</v>
      </c>
    </row>
    <row r="169" spans="1:4">
      <c r="A169" s="4" t="s">
        <v>119</v>
      </c>
      <c r="B169" s="6" t="s">
        <v>441</v>
      </c>
      <c r="C169" s="13">
        <v>10</v>
      </c>
      <c r="D169" s="6" t="s">
        <v>442</v>
      </c>
    </row>
    <row r="170" spans="1:4">
      <c r="A170" s="4" t="s">
        <v>119</v>
      </c>
      <c r="B170" s="6" t="s">
        <v>172</v>
      </c>
      <c r="C170" s="13">
        <v>10</v>
      </c>
      <c r="D170" s="6" t="s">
        <v>173</v>
      </c>
    </row>
    <row r="171" spans="1:4">
      <c r="A171" s="4" t="s">
        <v>119</v>
      </c>
      <c r="B171" s="6" t="s">
        <v>443</v>
      </c>
      <c r="C171" s="13">
        <v>10</v>
      </c>
      <c r="D171" s="6" t="s">
        <v>444</v>
      </c>
    </row>
    <row r="172" spans="1:4">
      <c r="A172" s="4" t="s">
        <v>119</v>
      </c>
      <c r="B172" s="6" t="s">
        <v>264</v>
      </c>
      <c r="C172" s="13">
        <v>10</v>
      </c>
      <c r="D172" s="6" t="s">
        <v>265</v>
      </c>
    </row>
    <row r="173" spans="1:4">
      <c r="A173" s="4" t="s">
        <v>119</v>
      </c>
      <c r="B173" s="6" t="s">
        <v>43</v>
      </c>
      <c r="C173" s="13">
        <v>10</v>
      </c>
      <c r="D173" s="6" t="s">
        <v>44</v>
      </c>
    </row>
    <row r="174" spans="1:4">
      <c r="A174" s="4" t="s">
        <v>119</v>
      </c>
      <c r="B174" s="6" t="s">
        <v>33</v>
      </c>
      <c r="C174" s="13">
        <v>10</v>
      </c>
      <c r="D174" s="6" t="s">
        <v>34</v>
      </c>
    </row>
    <row r="175" spans="1:4">
      <c r="A175" s="4" t="s">
        <v>119</v>
      </c>
      <c r="B175" s="6" t="s">
        <v>144</v>
      </c>
      <c r="C175" s="13">
        <v>10</v>
      </c>
      <c r="D175" s="6" t="s">
        <v>145</v>
      </c>
    </row>
    <row r="176" spans="1:4">
      <c r="A176" s="4" t="s">
        <v>119</v>
      </c>
      <c r="B176" s="6" t="s">
        <v>47</v>
      </c>
      <c r="C176" s="13">
        <v>10</v>
      </c>
      <c r="D176" s="6" t="s">
        <v>48</v>
      </c>
    </row>
    <row r="177" spans="1:4">
      <c r="A177" s="4" t="s">
        <v>119</v>
      </c>
      <c r="B177" s="6" t="s">
        <v>445</v>
      </c>
      <c r="C177" s="13">
        <v>10</v>
      </c>
      <c r="D177" s="6" t="s">
        <v>446</v>
      </c>
    </row>
    <row r="178" spans="1:4">
      <c r="A178" s="4" t="s">
        <v>119</v>
      </c>
      <c r="B178" s="6" t="s">
        <v>256</v>
      </c>
      <c r="C178" s="13">
        <v>10</v>
      </c>
      <c r="D178" s="6" t="s">
        <v>257</v>
      </c>
    </row>
    <row r="179" spans="1:4">
      <c r="A179" s="4" t="s">
        <v>119</v>
      </c>
      <c r="B179" s="6" t="s">
        <v>447</v>
      </c>
      <c r="C179" s="13">
        <v>10</v>
      </c>
      <c r="D179" s="6" t="s">
        <v>448</v>
      </c>
    </row>
    <row r="180" spans="1:4">
      <c r="A180" s="4" t="s">
        <v>119</v>
      </c>
      <c r="B180" s="6" t="s">
        <v>266</v>
      </c>
      <c r="C180" s="13">
        <v>10</v>
      </c>
      <c r="D180" s="6" t="s">
        <v>267</v>
      </c>
    </row>
    <row r="181" spans="1:4">
      <c r="A181" s="4" t="s">
        <v>119</v>
      </c>
      <c r="B181" s="6" t="s">
        <v>449</v>
      </c>
      <c r="C181" s="13">
        <v>10</v>
      </c>
      <c r="D181" s="6" t="s">
        <v>450</v>
      </c>
    </row>
    <row r="182" spans="1:4">
      <c r="A182" s="4" t="s">
        <v>119</v>
      </c>
      <c r="B182" s="6" t="s">
        <v>148</v>
      </c>
      <c r="C182" s="13">
        <v>10</v>
      </c>
      <c r="D182" s="6" t="s">
        <v>149</v>
      </c>
    </row>
    <row r="183" spans="1:4">
      <c r="A183" s="4" t="s">
        <v>119</v>
      </c>
      <c r="B183" s="6" t="s">
        <v>451</v>
      </c>
      <c r="C183" s="13">
        <v>10</v>
      </c>
      <c r="D183" s="6" t="s">
        <v>452</v>
      </c>
    </row>
    <row r="184" spans="1:4">
      <c r="A184" s="4" t="s">
        <v>119</v>
      </c>
      <c r="B184" s="6" t="s">
        <v>69</v>
      </c>
      <c r="C184" s="13">
        <v>10</v>
      </c>
      <c r="D184" s="6" t="s">
        <v>70</v>
      </c>
    </row>
    <row r="185" spans="1:4">
      <c r="A185" s="4" t="s">
        <v>119</v>
      </c>
      <c r="B185" s="6" t="s">
        <v>174</v>
      </c>
      <c r="C185" s="13">
        <v>10</v>
      </c>
      <c r="D185" s="6" t="s">
        <v>175</v>
      </c>
    </row>
    <row r="186" spans="1:4">
      <c r="A186" s="4" t="s">
        <v>119</v>
      </c>
      <c r="B186" s="6" t="s">
        <v>150</v>
      </c>
      <c r="C186" s="13">
        <v>10</v>
      </c>
      <c r="D186" s="6" t="s">
        <v>151</v>
      </c>
    </row>
    <row r="187" spans="1:4">
      <c r="A187" s="4" t="s">
        <v>119</v>
      </c>
      <c r="B187" s="6" t="s">
        <v>453</v>
      </c>
      <c r="C187" s="13">
        <v>10</v>
      </c>
      <c r="D187" s="6" t="s">
        <v>454</v>
      </c>
    </row>
    <row r="188" spans="1:4">
      <c r="A188" s="4" t="s">
        <v>119</v>
      </c>
      <c r="B188" s="6" t="s">
        <v>152</v>
      </c>
      <c r="C188" s="13">
        <v>10</v>
      </c>
      <c r="D188" s="6" t="s">
        <v>153</v>
      </c>
    </row>
    <row r="189" spans="1:4">
      <c r="A189" s="4" t="s">
        <v>119</v>
      </c>
      <c r="B189" s="6" t="s">
        <v>218</v>
      </c>
      <c r="C189" s="13">
        <v>10</v>
      </c>
      <c r="D189" s="6" t="s">
        <v>219</v>
      </c>
    </row>
    <row r="190" spans="1:4">
      <c r="A190" s="4" t="s">
        <v>119</v>
      </c>
      <c r="B190" s="6" t="s">
        <v>455</v>
      </c>
      <c r="C190" s="13">
        <v>10</v>
      </c>
      <c r="D190" s="6" t="s">
        <v>456</v>
      </c>
    </row>
    <row r="191" spans="1:4">
      <c r="A191" s="4" t="s">
        <v>119</v>
      </c>
      <c r="B191" s="6" t="s">
        <v>457</v>
      </c>
      <c r="C191" s="13">
        <v>10</v>
      </c>
      <c r="D191" s="6" t="s">
        <v>458</v>
      </c>
    </row>
    <row r="192" spans="1:4">
      <c r="A192" s="4" t="s">
        <v>119</v>
      </c>
      <c r="B192" s="6" t="s">
        <v>268</v>
      </c>
      <c r="C192" s="13">
        <v>10</v>
      </c>
      <c r="D192" s="6" t="s">
        <v>269</v>
      </c>
    </row>
    <row r="193" spans="1:4">
      <c r="A193" s="4" t="s">
        <v>119</v>
      </c>
      <c r="B193" s="6" t="s">
        <v>459</v>
      </c>
      <c r="C193" s="13">
        <v>10</v>
      </c>
      <c r="D193" s="6" t="s">
        <v>460</v>
      </c>
    </row>
    <row r="194" spans="1:4">
      <c r="A194" s="4" t="s">
        <v>119</v>
      </c>
      <c r="B194" s="6" t="s">
        <v>154</v>
      </c>
      <c r="C194" s="13">
        <v>10</v>
      </c>
      <c r="D194" s="6" t="s">
        <v>155</v>
      </c>
    </row>
    <row r="195" spans="1:4">
      <c r="A195" s="4" t="s">
        <v>119</v>
      </c>
      <c r="B195" s="6" t="s">
        <v>156</v>
      </c>
      <c r="C195" s="13">
        <v>10</v>
      </c>
      <c r="D195" s="6" t="s">
        <v>157</v>
      </c>
    </row>
    <row r="196" spans="1:4">
      <c r="A196" s="4" t="s">
        <v>119</v>
      </c>
      <c r="B196" s="6" t="s">
        <v>461</v>
      </c>
      <c r="C196" s="13">
        <v>10</v>
      </c>
      <c r="D196" s="6" t="s">
        <v>462</v>
      </c>
    </row>
    <row r="197" spans="1:4">
      <c r="A197" s="4" t="s">
        <v>119</v>
      </c>
      <c r="B197" s="6" t="s">
        <v>463</v>
      </c>
      <c r="C197" s="13">
        <v>10</v>
      </c>
      <c r="D197" s="6" t="s">
        <v>464</v>
      </c>
    </row>
    <row r="198" spans="1:4">
      <c r="A198" s="4" t="s">
        <v>119</v>
      </c>
      <c r="B198" s="6" t="s">
        <v>160</v>
      </c>
      <c r="C198" s="13">
        <v>10</v>
      </c>
      <c r="D198" s="6" t="s">
        <v>161</v>
      </c>
    </row>
    <row r="199" spans="1:4">
      <c r="A199" s="4" t="s">
        <v>119</v>
      </c>
      <c r="B199" s="6" t="s">
        <v>214</v>
      </c>
      <c r="C199" s="13">
        <v>10</v>
      </c>
      <c r="D199" s="6" t="s">
        <v>215</v>
      </c>
    </row>
    <row r="200" spans="1:4">
      <c r="A200" s="4" t="s">
        <v>119</v>
      </c>
      <c r="B200" s="6" t="s">
        <v>97</v>
      </c>
      <c r="C200" s="13">
        <v>10</v>
      </c>
      <c r="D200" s="6" t="s">
        <v>98</v>
      </c>
    </row>
    <row r="201" spans="1:4">
      <c r="A201" s="4" t="s">
        <v>119</v>
      </c>
      <c r="B201" s="6" t="s">
        <v>465</v>
      </c>
      <c r="C201" s="13">
        <v>10</v>
      </c>
      <c r="D201" s="6" t="s">
        <v>466</v>
      </c>
    </row>
    <row r="202" spans="1:4">
      <c r="A202" s="4" t="s">
        <v>119</v>
      </c>
      <c r="B202" s="6" t="s">
        <v>210</v>
      </c>
      <c r="C202" s="13">
        <v>10</v>
      </c>
      <c r="D202" s="6" t="s">
        <v>211</v>
      </c>
    </row>
    <row r="203" spans="1:4">
      <c r="A203" s="4" t="s">
        <v>119</v>
      </c>
      <c r="B203" s="6" t="s">
        <v>467</v>
      </c>
      <c r="C203" s="13">
        <v>10</v>
      </c>
      <c r="D203" s="6" t="s">
        <v>468</v>
      </c>
    </row>
    <row r="204" spans="1:4">
      <c r="A204" s="4" t="s">
        <v>119</v>
      </c>
      <c r="B204" s="6" t="s">
        <v>162</v>
      </c>
      <c r="C204" s="13">
        <v>10</v>
      </c>
      <c r="D204" s="6" t="s">
        <v>163</v>
      </c>
    </row>
    <row r="205" spans="1:4">
      <c r="A205" s="4" t="s">
        <v>119</v>
      </c>
      <c r="B205" s="6" t="s">
        <v>469</v>
      </c>
      <c r="C205" s="13">
        <v>10</v>
      </c>
      <c r="D205" s="6" t="s">
        <v>470</v>
      </c>
    </row>
    <row r="206" spans="1:4">
      <c r="A206" s="4" t="s">
        <v>119</v>
      </c>
      <c r="B206" s="6" t="s">
        <v>471</v>
      </c>
      <c r="C206" s="13">
        <v>10</v>
      </c>
      <c r="D206" s="6" t="s">
        <v>472</v>
      </c>
    </row>
    <row r="207" spans="1:4">
      <c r="A207" s="4" t="s">
        <v>119</v>
      </c>
      <c r="B207" s="6" t="s">
        <v>170</v>
      </c>
      <c r="C207" s="13">
        <v>10</v>
      </c>
      <c r="D207" s="6" t="s">
        <v>171</v>
      </c>
    </row>
    <row r="208" spans="1:4">
      <c r="A208" s="4" t="s">
        <v>119</v>
      </c>
      <c r="B208" s="6" t="s">
        <v>473</v>
      </c>
      <c r="C208" s="13">
        <v>10</v>
      </c>
      <c r="D208" s="6" t="s">
        <v>474</v>
      </c>
    </row>
    <row r="209" spans="1:4">
      <c r="A209" s="4" t="s">
        <v>119</v>
      </c>
      <c r="B209" s="6" t="s">
        <v>186</v>
      </c>
      <c r="C209" s="13">
        <v>10</v>
      </c>
      <c r="D209" s="6" t="s">
        <v>187</v>
      </c>
    </row>
    <row r="210" spans="1:4">
      <c r="A210" s="4" t="s">
        <v>119</v>
      </c>
      <c r="B210" s="6" t="s">
        <v>475</v>
      </c>
      <c r="C210" s="13">
        <v>10</v>
      </c>
      <c r="D210" s="6" t="s">
        <v>476</v>
      </c>
    </row>
    <row r="211" spans="1:4">
      <c r="A211" s="4" t="s">
        <v>119</v>
      </c>
      <c r="B211" s="6" t="s">
        <v>27</v>
      </c>
      <c r="C211" s="13">
        <v>10</v>
      </c>
      <c r="D211" s="6" t="s">
        <v>28</v>
      </c>
    </row>
    <row r="212" spans="1:4">
      <c r="A212" s="4" t="s">
        <v>119</v>
      </c>
      <c r="B212" s="6" t="s">
        <v>113</v>
      </c>
      <c r="C212" s="13">
        <v>10</v>
      </c>
      <c r="D212" s="6" t="s">
        <v>114</v>
      </c>
    </row>
    <row r="213" spans="1:4">
      <c r="A213" s="4" t="s">
        <v>119</v>
      </c>
      <c r="B213" s="6" t="s">
        <v>15</v>
      </c>
      <c r="C213" s="13">
        <v>10</v>
      </c>
      <c r="D213" s="6" t="s">
        <v>16</v>
      </c>
    </row>
    <row r="214" spans="1:4">
      <c r="A214" s="4" t="s">
        <v>119</v>
      </c>
      <c r="B214" s="6" t="s">
        <v>477</v>
      </c>
      <c r="C214" s="13">
        <v>10</v>
      </c>
      <c r="D214" s="6" t="s">
        <v>478</v>
      </c>
    </row>
    <row r="215" spans="1:4">
      <c r="A215" s="4" t="s">
        <v>119</v>
      </c>
      <c r="B215" s="6" t="s">
        <v>479</v>
      </c>
      <c r="C215" s="13">
        <v>10</v>
      </c>
      <c r="D215" s="6" t="s">
        <v>480</v>
      </c>
    </row>
    <row r="216" spans="1:4">
      <c r="A216" s="4" t="s">
        <v>119</v>
      </c>
      <c r="B216" s="6" t="s">
        <v>481</v>
      </c>
      <c r="C216" s="13">
        <v>10</v>
      </c>
      <c r="D216" s="6" t="s">
        <v>482</v>
      </c>
    </row>
    <row r="217" spans="1:4">
      <c r="A217" s="4" t="s">
        <v>119</v>
      </c>
      <c r="B217" s="6" t="s">
        <v>483</v>
      </c>
      <c r="C217" s="13">
        <v>10</v>
      </c>
      <c r="D217" s="6" t="s">
        <v>484</v>
      </c>
    </row>
    <row r="218" spans="1:4">
      <c r="A218" s="4" t="s">
        <v>119</v>
      </c>
      <c r="B218" s="6" t="s">
        <v>485</v>
      </c>
      <c r="C218" s="13">
        <v>10</v>
      </c>
      <c r="D218" s="6" t="s">
        <v>486</v>
      </c>
    </row>
    <row r="219" spans="1:4">
      <c r="A219" s="4" t="s">
        <v>119</v>
      </c>
      <c r="B219" s="6" t="s">
        <v>487</v>
      </c>
      <c r="C219" s="13">
        <v>10</v>
      </c>
      <c r="D219" s="6" t="s">
        <v>488</v>
      </c>
    </row>
    <row r="220" spans="1:4">
      <c r="A220" s="4" t="s">
        <v>119</v>
      </c>
      <c r="B220" s="6" t="s">
        <v>220</v>
      </c>
      <c r="C220" s="13">
        <v>10</v>
      </c>
      <c r="D220" s="6" t="s">
        <v>221</v>
      </c>
    </row>
    <row r="221" spans="1:4">
      <c r="A221" s="4" t="s">
        <v>119</v>
      </c>
      <c r="B221" s="6" t="s">
        <v>85</v>
      </c>
      <c r="C221" s="13">
        <v>10</v>
      </c>
      <c r="D221" s="6" t="s">
        <v>86</v>
      </c>
    </row>
    <row r="223" spans="1:4">
      <c r="B223" s="9" t="s">
        <v>75</v>
      </c>
      <c r="C223" s="10">
        <f>SUM(C8:C221)</f>
        <v>45537</v>
      </c>
    </row>
    <row r="224" spans="1:4">
      <c r="B224" s="2" t="s">
        <v>76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9"/>
  <sheetViews>
    <sheetView workbookViewId="0">
      <pane ySplit="7" topLeftCell="A8" activePane="bottomLeft" state="frozen"/>
      <selection/>
      <selection pane="bottomLeft" activeCell="F3" sqref="F3"/>
    </sheetView>
  </sheetViews>
  <sheetFormatPr defaultColWidth="9" defaultRowHeight="14.4" outlineLevelCol="6"/>
  <cols>
    <col min="1" max="1" width="10" customWidth="1"/>
    <col min="2" max="2" width="38" customWidth="1"/>
    <col min="3" max="3" width="14" customWidth="1"/>
    <col min="4" max="4" width="38" hidden="1" customWidth="1"/>
  </cols>
  <sheetData>
    <row r="1" ht="16.8" spans="1:7">
      <c r="A1" s="1" t="s">
        <v>489</v>
      </c>
    </row>
    <row r="2" spans="1:7">
      <c r="A2" s="9" t="s">
        <v>1</v>
      </c>
      <c r="B2" s="11" t="s">
        <v>490</v>
      </c>
    </row>
    <row r="3" spans="1:7">
      <c r="A3" s="9" t="s">
        <v>3</v>
      </c>
      <c r="B3" s="12">
        <v>250</v>
      </c>
      <c r="F3" t="s">
        <v>4</v>
      </c>
      <c r="G3" t="s">
        <v>5</v>
      </c>
    </row>
    <row r="4" spans="1:7">
      <c r="A4" s="9" t="s">
        <v>6</v>
      </c>
      <c r="B4" s="11">
        <v>79</v>
      </c>
      <c r="F4">
        <v>79</v>
      </c>
      <c r="G4">
        <v>94</v>
      </c>
    </row>
    <row r="5" spans="1:7">
      <c r="A5" s="9" t="s">
        <v>8</v>
      </c>
      <c r="B5" s="11" t="s">
        <v>9</v>
      </c>
    </row>
    <row r="6" spans="1:7">
      <c r="A6" s="9" t="s">
        <v>10</v>
      </c>
      <c r="B6" s="11">
        <v>1</v>
      </c>
    </row>
    <row r="7" spans="1:7">
      <c r="A7" s="3" t="s">
        <v>11</v>
      </c>
      <c r="B7" s="3" t="s">
        <v>12</v>
      </c>
      <c r="C7" s="3" t="s">
        <v>13</v>
      </c>
      <c r="D7" s="3" t="s">
        <v>14</v>
      </c>
    </row>
    <row r="8" spans="1:7">
      <c r="A8" s="4">
        <v>1</v>
      </c>
      <c r="B8" s="6" t="s">
        <v>491</v>
      </c>
      <c r="C8" s="13">
        <v>1290</v>
      </c>
      <c r="D8" s="6" t="s">
        <v>492</v>
      </c>
    </row>
    <row r="9" spans="1:7">
      <c r="A9" s="4">
        <v>2</v>
      </c>
      <c r="B9" s="6" t="s">
        <v>200</v>
      </c>
      <c r="C9" s="13">
        <v>1032</v>
      </c>
      <c r="D9" s="6" t="s">
        <v>201</v>
      </c>
    </row>
    <row r="10" spans="1:7">
      <c r="A10" s="4">
        <v>3</v>
      </c>
      <c r="B10" s="6" t="s">
        <v>467</v>
      </c>
      <c r="C10" s="13">
        <v>903</v>
      </c>
      <c r="D10" s="6" t="s">
        <v>468</v>
      </c>
    </row>
    <row r="11" spans="1:7">
      <c r="A11" s="4">
        <v>4</v>
      </c>
      <c r="B11" s="6" t="s">
        <v>325</v>
      </c>
      <c r="C11" s="13">
        <v>774</v>
      </c>
      <c r="D11" s="6" t="s">
        <v>326</v>
      </c>
    </row>
    <row r="12" spans="1:7">
      <c r="A12" s="4">
        <v>5</v>
      </c>
      <c r="B12" s="6" t="s">
        <v>303</v>
      </c>
      <c r="C12" s="13">
        <v>645</v>
      </c>
      <c r="D12" s="6" t="s">
        <v>304</v>
      </c>
    </row>
    <row r="13" spans="1:7">
      <c r="A13" s="4">
        <v>6</v>
      </c>
      <c r="B13" s="6" t="s">
        <v>417</v>
      </c>
      <c r="C13" s="13">
        <v>580.5</v>
      </c>
      <c r="D13" s="6" t="s">
        <v>418</v>
      </c>
    </row>
    <row r="14" spans="1:7">
      <c r="A14" s="4">
        <v>7</v>
      </c>
      <c r="B14" s="6" t="s">
        <v>158</v>
      </c>
      <c r="C14" s="13">
        <v>516</v>
      </c>
      <c r="D14" s="6" t="s">
        <v>159</v>
      </c>
    </row>
    <row r="15" spans="1:7">
      <c r="A15" s="4">
        <v>8</v>
      </c>
      <c r="B15" s="6" t="s">
        <v>91</v>
      </c>
      <c r="C15" s="13">
        <v>451.5</v>
      </c>
      <c r="D15" s="6" t="s">
        <v>92</v>
      </c>
    </row>
    <row r="16" spans="1:7">
      <c r="A16" s="4">
        <v>9</v>
      </c>
      <c r="B16" s="6" t="s">
        <v>395</v>
      </c>
      <c r="C16" s="13">
        <v>387</v>
      </c>
      <c r="D16" s="6" t="s">
        <v>396</v>
      </c>
    </row>
    <row r="17" spans="1:4">
      <c r="A17" s="4">
        <v>10</v>
      </c>
      <c r="B17" s="6" t="s">
        <v>337</v>
      </c>
      <c r="C17" s="13">
        <v>322.5</v>
      </c>
      <c r="D17" s="6" t="s">
        <v>338</v>
      </c>
    </row>
    <row r="18" spans="1:4">
      <c r="A18" s="4">
        <v>11</v>
      </c>
      <c r="B18" s="6" t="s">
        <v>291</v>
      </c>
      <c r="C18" s="13">
        <v>322.5</v>
      </c>
      <c r="D18" s="6" t="s">
        <v>292</v>
      </c>
    </row>
    <row r="19" spans="1:4">
      <c r="A19" s="4">
        <v>12</v>
      </c>
      <c r="B19" s="6" t="s">
        <v>493</v>
      </c>
      <c r="C19" s="13">
        <v>322.5</v>
      </c>
      <c r="D19" s="6" t="s">
        <v>494</v>
      </c>
    </row>
    <row r="20" spans="1:4">
      <c r="A20" s="4">
        <v>13</v>
      </c>
      <c r="B20" s="6" t="s">
        <v>138</v>
      </c>
      <c r="C20" s="13">
        <v>258</v>
      </c>
      <c r="D20" s="6" t="s">
        <v>139</v>
      </c>
    </row>
    <row r="21" spans="1:4">
      <c r="A21" s="4">
        <v>14</v>
      </c>
      <c r="B21" s="6" t="s">
        <v>473</v>
      </c>
      <c r="C21" s="13">
        <v>258</v>
      </c>
      <c r="D21" s="6" t="s">
        <v>474</v>
      </c>
    </row>
    <row r="22" spans="1:4">
      <c r="A22" s="4">
        <v>15</v>
      </c>
      <c r="B22" s="6" t="s">
        <v>192</v>
      </c>
      <c r="C22" s="13">
        <v>258</v>
      </c>
      <c r="D22" s="6" t="s">
        <v>193</v>
      </c>
    </row>
    <row r="23" spans="1:4">
      <c r="A23" s="4">
        <v>16</v>
      </c>
      <c r="B23" s="6" t="s">
        <v>387</v>
      </c>
      <c r="C23" s="13">
        <v>258</v>
      </c>
      <c r="D23" s="6" t="s">
        <v>388</v>
      </c>
    </row>
    <row r="24" spans="1:4">
      <c r="A24" s="4">
        <v>17</v>
      </c>
      <c r="B24" s="6" t="s">
        <v>341</v>
      </c>
      <c r="C24" s="13">
        <v>258</v>
      </c>
      <c r="D24" s="6" t="s">
        <v>342</v>
      </c>
    </row>
    <row r="25" spans="1:4">
      <c r="A25" s="4">
        <v>18</v>
      </c>
      <c r="B25" s="6" t="s">
        <v>439</v>
      </c>
      <c r="C25" s="13">
        <v>258</v>
      </c>
      <c r="D25" s="6" t="s">
        <v>440</v>
      </c>
    </row>
    <row r="26" spans="1:4">
      <c r="A26" s="4">
        <v>19</v>
      </c>
      <c r="B26" s="6" t="s">
        <v>305</v>
      </c>
      <c r="C26" s="13">
        <v>129</v>
      </c>
      <c r="D26" s="6" t="s">
        <v>306</v>
      </c>
    </row>
    <row r="27" spans="1:4">
      <c r="A27" s="4">
        <v>20</v>
      </c>
      <c r="B27" s="6" t="s">
        <v>495</v>
      </c>
      <c r="C27" s="13">
        <v>129</v>
      </c>
      <c r="D27" s="6" t="s">
        <v>496</v>
      </c>
    </row>
    <row r="28" spans="1:4">
      <c r="A28" s="4">
        <v>21</v>
      </c>
      <c r="B28" s="6" t="s">
        <v>103</v>
      </c>
      <c r="C28" s="13">
        <v>10</v>
      </c>
      <c r="D28" s="6" t="s">
        <v>104</v>
      </c>
    </row>
    <row r="29" spans="1:4">
      <c r="A29" s="4">
        <v>22</v>
      </c>
      <c r="B29" s="6" t="s">
        <v>319</v>
      </c>
      <c r="C29" s="13">
        <v>10</v>
      </c>
      <c r="D29" s="6" t="s">
        <v>320</v>
      </c>
    </row>
    <row r="30" spans="1:4">
      <c r="A30" s="4">
        <v>23</v>
      </c>
      <c r="B30" s="6" t="s">
        <v>120</v>
      </c>
      <c r="C30" s="13">
        <v>10</v>
      </c>
      <c r="D30" s="6" t="s">
        <v>121</v>
      </c>
    </row>
    <row r="31" spans="1:4">
      <c r="A31" s="4">
        <v>24</v>
      </c>
      <c r="B31" s="6" t="s">
        <v>415</v>
      </c>
      <c r="C31" s="13">
        <v>10</v>
      </c>
      <c r="D31" s="6" t="s">
        <v>416</v>
      </c>
    </row>
    <row r="32" spans="1:4">
      <c r="A32" s="4">
        <v>25</v>
      </c>
      <c r="B32" s="6" t="s">
        <v>285</v>
      </c>
      <c r="C32" s="13">
        <v>10</v>
      </c>
      <c r="D32" s="6" t="s">
        <v>286</v>
      </c>
    </row>
    <row r="33" spans="1:4">
      <c r="A33" s="4">
        <v>26</v>
      </c>
      <c r="B33" s="6" t="s">
        <v>254</v>
      </c>
      <c r="C33" s="13">
        <v>10</v>
      </c>
      <c r="D33" s="6" t="s">
        <v>255</v>
      </c>
    </row>
    <row r="34" spans="1:4">
      <c r="A34" s="4">
        <v>27</v>
      </c>
      <c r="B34" s="6" t="s">
        <v>419</v>
      </c>
      <c r="C34" s="13">
        <v>10</v>
      </c>
      <c r="D34" s="6" t="s">
        <v>420</v>
      </c>
    </row>
    <row r="35" spans="1:4">
      <c r="A35" s="4">
        <v>28</v>
      </c>
      <c r="B35" s="6" t="s">
        <v>281</v>
      </c>
      <c r="C35" s="13">
        <v>10</v>
      </c>
      <c r="D35" s="6" t="s">
        <v>282</v>
      </c>
    </row>
    <row r="36" spans="1:4">
      <c r="A36" s="4">
        <v>29</v>
      </c>
      <c r="B36" s="6" t="s">
        <v>51</v>
      </c>
      <c r="C36" s="13">
        <v>10</v>
      </c>
      <c r="D36" s="6" t="s">
        <v>52</v>
      </c>
    </row>
    <row r="37" spans="1:4">
      <c r="A37" s="4">
        <v>30</v>
      </c>
      <c r="B37" s="6" t="s">
        <v>361</v>
      </c>
      <c r="C37" s="13">
        <v>10</v>
      </c>
      <c r="D37" s="6" t="s">
        <v>362</v>
      </c>
    </row>
    <row r="38" spans="1:4">
      <c r="A38" s="4">
        <v>31</v>
      </c>
      <c r="B38" s="6" t="s">
        <v>71</v>
      </c>
      <c r="C38" s="13">
        <v>10</v>
      </c>
      <c r="D38" s="6" t="s">
        <v>72</v>
      </c>
    </row>
    <row r="39" spans="1:4">
      <c r="A39" s="4">
        <v>32</v>
      </c>
      <c r="B39" s="6" t="s">
        <v>463</v>
      </c>
      <c r="C39" s="13">
        <v>10</v>
      </c>
      <c r="D39" s="6" t="s">
        <v>464</v>
      </c>
    </row>
    <row r="40" spans="1:4">
      <c r="A40" s="4">
        <v>33</v>
      </c>
      <c r="B40" s="6" t="s">
        <v>136</v>
      </c>
      <c r="C40" s="13">
        <v>10</v>
      </c>
      <c r="D40" s="6" t="s">
        <v>137</v>
      </c>
    </row>
    <row r="41" spans="1:4">
      <c r="A41" s="4">
        <v>34</v>
      </c>
      <c r="B41" s="6" t="s">
        <v>25</v>
      </c>
      <c r="C41" s="13">
        <v>10</v>
      </c>
      <c r="D41" s="6" t="s">
        <v>26</v>
      </c>
    </row>
    <row r="42" spans="1:4">
      <c r="A42" s="4">
        <v>35</v>
      </c>
      <c r="B42" s="6" t="s">
        <v>497</v>
      </c>
      <c r="C42" s="13">
        <v>10</v>
      </c>
      <c r="D42" s="6" t="s">
        <v>498</v>
      </c>
    </row>
    <row r="43" spans="1:4">
      <c r="A43" s="4">
        <v>36</v>
      </c>
      <c r="B43" s="6" t="s">
        <v>499</v>
      </c>
      <c r="C43" s="13">
        <v>10</v>
      </c>
      <c r="D43" s="6" t="s">
        <v>500</v>
      </c>
    </row>
    <row r="44" spans="1:4">
      <c r="A44" s="4">
        <v>37</v>
      </c>
      <c r="B44" s="6" t="s">
        <v>317</v>
      </c>
      <c r="C44" s="13">
        <v>10</v>
      </c>
      <c r="D44" s="6" t="s">
        <v>318</v>
      </c>
    </row>
    <row r="45" spans="1:4">
      <c r="A45" s="4">
        <v>38</v>
      </c>
      <c r="B45" s="6" t="s">
        <v>401</v>
      </c>
      <c r="C45" s="13">
        <v>10</v>
      </c>
      <c r="D45" s="6" t="s">
        <v>402</v>
      </c>
    </row>
    <row r="46" spans="1:4">
      <c r="A46" s="4">
        <v>39</v>
      </c>
      <c r="B46" s="6" t="s">
        <v>461</v>
      </c>
      <c r="C46" s="13">
        <v>10</v>
      </c>
      <c r="D46" s="6" t="s">
        <v>462</v>
      </c>
    </row>
    <row r="47" spans="1:4">
      <c r="A47" s="4">
        <v>40</v>
      </c>
      <c r="B47" s="6" t="s">
        <v>441</v>
      </c>
      <c r="C47" s="13">
        <v>10</v>
      </c>
      <c r="D47" s="6" t="s">
        <v>442</v>
      </c>
    </row>
    <row r="48" spans="1:4">
      <c r="A48" s="4">
        <v>41</v>
      </c>
      <c r="B48" s="6" t="s">
        <v>19</v>
      </c>
      <c r="C48" s="13">
        <v>10</v>
      </c>
      <c r="D48" s="6" t="s">
        <v>20</v>
      </c>
    </row>
    <row r="49" spans="1:4">
      <c r="A49" s="4">
        <v>42</v>
      </c>
      <c r="B49" s="6" t="s">
        <v>411</v>
      </c>
      <c r="C49" s="13">
        <v>10</v>
      </c>
      <c r="D49" s="6" t="s">
        <v>412</v>
      </c>
    </row>
    <row r="50" spans="1:4">
      <c r="A50" s="4">
        <v>43</v>
      </c>
      <c r="B50" s="6" t="s">
        <v>295</v>
      </c>
      <c r="C50" s="13">
        <v>10</v>
      </c>
      <c r="D50" s="6" t="s">
        <v>296</v>
      </c>
    </row>
    <row r="51" spans="1:4">
      <c r="A51" s="4">
        <v>44</v>
      </c>
      <c r="B51" s="6" t="s">
        <v>122</v>
      </c>
      <c r="C51" s="13">
        <v>10</v>
      </c>
      <c r="D51" s="6" t="s">
        <v>123</v>
      </c>
    </row>
    <row r="52" spans="1:4">
      <c r="A52" s="4">
        <v>45</v>
      </c>
      <c r="B52" s="6" t="s">
        <v>435</v>
      </c>
      <c r="C52" s="13">
        <v>10</v>
      </c>
      <c r="D52" s="6" t="s">
        <v>436</v>
      </c>
    </row>
    <row r="53" spans="1:4">
      <c r="A53" s="4">
        <v>46</v>
      </c>
      <c r="B53" s="6" t="s">
        <v>287</v>
      </c>
      <c r="C53" s="13">
        <v>10</v>
      </c>
      <c r="D53" s="6" t="s">
        <v>288</v>
      </c>
    </row>
    <row r="54" spans="1:4">
      <c r="A54" s="4">
        <v>47</v>
      </c>
      <c r="B54" s="6" t="s">
        <v>471</v>
      </c>
      <c r="C54" s="13">
        <v>10</v>
      </c>
      <c r="D54" s="6" t="s">
        <v>472</v>
      </c>
    </row>
    <row r="55" spans="1:4">
      <c r="A55" s="4">
        <v>48</v>
      </c>
      <c r="B55" s="6" t="s">
        <v>501</v>
      </c>
      <c r="C55" s="13">
        <v>10</v>
      </c>
      <c r="D55" s="6" t="s">
        <v>502</v>
      </c>
    </row>
    <row r="56" spans="1:4">
      <c r="A56" s="4">
        <v>49</v>
      </c>
      <c r="B56" s="6" t="s">
        <v>299</v>
      </c>
      <c r="C56" s="13">
        <v>10</v>
      </c>
      <c r="D56" s="6" t="s">
        <v>300</v>
      </c>
    </row>
    <row r="57" spans="1:4">
      <c r="A57" s="4">
        <v>50</v>
      </c>
      <c r="B57" s="6" t="s">
        <v>73</v>
      </c>
      <c r="C57" s="13">
        <v>10</v>
      </c>
      <c r="D57" s="6" t="s">
        <v>74</v>
      </c>
    </row>
    <row r="58" spans="1:4">
      <c r="A58" s="4">
        <v>51</v>
      </c>
      <c r="B58" s="6" t="s">
        <v>451</v>
      </c>
      <c r="C58" s="13">
        <v>10</v>
      </c>
      <c r="D58" s="6" t="s">
        <v>452</v>
      </c>
    </row>
    <row r="59" spans="1:4">
      <c r="A59" s="4">
        <v>52</v>
      </c>
      <c r="B59" s="6" t="s">
        <v>503</v>
      </c>
      <c r="C59" s="13">
        <v>10</v>
      </c>
      <c r="D59" s="6" t="s">
        <v>504</v>
      </c>
    </row>
    <row r="60" spans="1:4">
      <c r="A60" s="4">
        <v>53</v>
      </c>
      <c r="B60" s="6" t="s">
        <v>477</v>
      </c>
      <c r="C60" s="13">
        <v>10</v>
      </c>
      <c r="D60" s="6" t="s">
        <v>478</v>
      </c>
    </row>
    <row r="61" spans="1:4">
      <c r="A61" s="4">
        <v>54</v>
      </c>
      <c r="B61" s="6" t="s">
        <v>479</v>
      </c>
      <c r="C61" s="13">
        <v>10</v>
      </c>
      <c r="D61" s="6" t="s">
        <v>480</v>
      </c>
    </row>
    <row r="62" spans="1:4">
      <c r="A62" s="4">
        <v>55</v>
      </c>
      <c r="B62" s="6" t="s">
        <v>204</v>
      </c>
      <c r="C62" s="13">
        <v>10</v>
      </c>
      <c r="D62" s="6" t="s">
        <v>205</v>
      </c>
    </row>
    <row r="63" spans="1:4">
      <c r="A63" s="4">
        <v>56</v>
      </c>
      <c r="B63" s="6" t="s">
        <v>15</v>
      </c>
      <c r="C63" s="13">
        <v>10</v>
      </c>
      <c r="D63" s="6" t="s">
        <v>16</v>
      </c>
    </row>
    <row r="64" spans="1:4">
      <c r="A64" s="4">
        <v>57</v>
      </c>
      <c r="B64" s="6" t="s">
        <v>128</v>
      </c>
      <c r="C64" s="13">
        <v>10</v>
      </c>
      <c r="D64" s="6" t="s">
        <v>129</v>
      </c>
    </row>
    <row r="65" spans="1:4">
      <c r="A65" s="4">
        <v>58</v>
      </c>
      <c r="B65" s="6" t="s">
        <v>124</v>
      </c>
      <c r="C65" s="13">
        <v>10</v>
      </c>
      <c r="D65" s="6" t="s">
        <v>125</v>
      </c>
    </row>
    <row r="66" spans="1:4">
      <c r="A66" s="4">
        <v>59</v>
      </c>
      <c r="B66" s="6" t="s">
        <v>264</v>
      </c>
      <c r="C66" s="13">
        <v>10</v>
      </c>
      <c r="D66" s="6" t="s">
        <v>265</v>
      </c>
    </row>
    <row r="67" spans="1:4">
      <c r="A67" s="4">
        <v>60</v>
      </c>
      <c r="B67" s="6" t="s">
        <v>17</v>
      </c>
      <c r="C67" s="13">
        <v>10</v>
      </c>
      <c r="D67" s="6" t="s">
        <v>18</v>
      </c>
    </row>
    <row r="68" spans="1:4">
      <c r="A68" s="4">
        <v>61</v>
      </c>
      <c r="B68" s="6" t="s">
        <v>505</v>
      </c>
      <c r="C68" s="13">
        <v>10</v>
      </c>
      <c r="D68" s="6" t="s">
        <v>506</v>
      </c>
    </row>
    <row r="69" spans="1:4">
      <c r="A69" s="4">
        <v>62</v>
      </c>
      <c r="B69" s="6" t="s">
        <v>156</v>
      </c>
      <c r="C69" s="13">
        <v>10</v>
      </c>
      <c r="D69" s="6" t="s">
        <v>157</v>
      </c>
    </row>
    <row r="70" spans="1:4">
      <c r="A70" s="4">
        <v>63</v>
      </c>
      <c r="B70" s="6" t="s">
        <v>373</v>
      </c>
      <c r="C70" s="13">
        <v>10</v>
      </c>
      <c r="D70" s="6" t="s">
        <v>374</v>
      </c>
    </row>
    <row r="71" spans="1:4">
      <c r="A71" s="4">
        <v>64</v>
      </c>
      <c r="B71" s="6" t="s">
        <v>212</v>
      </c>
      <c r="C71" s="13">
        <v>10</v>
      </c>
      <c r="D71" s="6" t="s">
        <v>213</v>
      </c>
    </row>
    <row r="72" spans="1:4">
      <c r="A72" s="4">
        <v>65</v>
      </c>
      <c r="B72" s="6" t="s">
        <v>152</v>
      </c>
      <c r="C72" s="13">
        <v>10</v>
      </c>
      <c r="D72" s="6" t="s">
        <v>153</v>
      </c>
    </row>
    <row r="73" spans="1:4">
      <c r="A73" s="4">
        <v>66</v>
      </c>
      <c r="B73" s="6" t="s">
        <v>87</v>
      </c>
      <c r="C73" s="13">
        <v>10</v>
      </c>
      <c r="D73" s="6" t="s">
        <v>88</v>
      </c>
    </row>
    <row r="74" spans="1:4">
      <c r="A74" s="4">
        <v>67</v>
      </c>
      <c r="B74" s="6" t="s">
        <v>345</v>
      </c>
      <c r="C74" s="13">
        <v>10</v>
      </c>
      <c r="D74" s="6" t="s">
        <v>346</v>
      </c>
    </row>
    <row r="75" spans="1:4">
      <c r="A75" s="4">
        <v>68</v>
      </c>
      <c r="B75" s="6" t="s">
        <v>321</v>
      </c>
      <c r="C75" s="13">
        <v>10</v>
      </c>
      <c r="D75" s="6" t="s">
        <v>322</v>
      </c>
    </row>
    <row r="76" spans="1:4">
      <c r="A76" s="4">
        <v>69</v>
      </c>
      <c r="B76" s="6" t="s">
        <v>507</v>
      </c>
      <c r="C76" s="13">
        <v>10</v>
      </c>
      <c r="D76" s="6" t="s">
        <v>508</v>
      </c>
    </row>
    <row r="77" spans="1:4">
      <c r="A77" s="4">
        <v>70</v>
      </c>
      <c r="B77" s="6" t="s">
        <v>79</v>
      </c>
      <c r="C77" s="13">
        <v>10</v>
      </c>
      <c r="D77" s="6" t="s">
        <v>80</v>
      </c>
    </row>
    <row r="78" spans="1:4">
      <c r="A78" s="4">
        <v>71</v>
      </c>
      <c r="B78" s="6" t="s">
        <v>425</v>
      </c>
      <c r="C78" s="13">
        <v>10</v>
      </c>
      <c r="D78" s="6" t="s">
        <v>426</v>
      </c>
    </row>
    <row r="79" spans="1:4">
      <c r="A79" s="4">
        <v>72</v>
      </c>
      <c r="B79" s="6" t="s">
        <v>242</v>
      </c>
      <c r="C79" s="13">
        <v>10</v>
      </c>
      <c r="D79" s="6" t="s">
        <v>243</v>
      </c>
    </row>
    <row r="80" spans="1:4">
      <c r="A80" s="4">
        <v>73</v>
      </c>
      <c r="B80" s="6" t="s">
        <v>134</v>
      </c>
      <c r="C80" s="13">
        <v>10</v>
      </c>
      <c r="D80" s="6" t="s">
        <v>135</v>
      </c>
    </row>
    <row r="81" spans="1:4">
      <c r="A81" s="4">
        <v>74</v>
      </c>
      <c r="B81" s="6" t="s">
        <v>509</v>
      </c>
      <c r="C81" s="13">
        <v>10</v>
      </c>
      <c r="D81" s="6" t="s">
        <v>510</v>
      </c>
    </row>
    <row r="82" spans="1:4">
      <c r="A82" s="4">
        <v>75</v>
      </c>
      <c r="B82" s="6" t="s">
        <v>405</v>
      </c>
      <c r="C82" s="13">
        <v>10</v>
      </c>
      <c r="D82" s="6" t="s">
        <v>406</v>
      </c>
    </row>
    <row r="83" spans="1:4">
      <c r="A83" s="4">
        <v>76</v>
      </c>
      <c r="B83" s="6" t="s">
        <v>511</v>
      </c>
      <c r="C83" s="13">
        <v>10</v>
      </c>
      <c r="D83" s="6" t="s">
        <v>512</v>
      </c>
    </row>
    <row r="84" spans="1:4">
      <c r="A84" s="4">
        <v>77</v>
      </c>
      <c r="B84" s="6" t="s">
        <v>513</v>
      </c>
      <c r="C84" s="13">
        <v>10</v>
      </c>
      <c r="D84" s="6" t="s">
        <v>514</v>
      </c>
    </row>
    <row r="85" spans="1:4">
      <c r="A85" s="4">
        <v>78</v>
      </c>
      <c r="B85" s="6" t="s">
        <v>515</v>
      </c>
      <c r="C85" s="13">
        <v>10</v>
      </c>
      <c r="D85" s="6" t="s">
        <v>516</v>
      </c>
    </row>
    <row r="86" spans="1:4">
      <c r="A86" s="4" t="s">
        <v>119</v>
      </c>
      <c r="B86" s="6" t="s">
        <v>260</v>
      </c>
      <c r="C86" s="13">
        <v>10</v>
      </c>
      <c r="D86" s="6" t="s">
        <v>261</v>
      </c>
    </row>
    <row r="88" spans="1:4">
      <c r="B88" s="9" t="s">
        <v>75</v>
      </c>
      <c r="C88" s="10">
        <f>SUM(C8:C86)</f>
        <v>9942.5</v>
      </c>
    </row>
    <row r="89" spans="1:4">
      <c r="B89" s="2" t="s">
        <v>76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workbookViewId="0">
      <pane ySplit="7" topLeftCell="A8" activePane="bottomLeft" state="frozen"/>
      <selection/>
      <selection pane="bottomLeft" activeCell="G5" sqref="G5"/>
    </sheetView>
  </sheetViews>
  <sheetFormatPr defaultColWidth="9" defaultRowHeight="14.4" outlineLevelCol="6"/>
  <cols>
    <col min="1" max="1" width="10" customWidth="1"/>
    <col min="2" max="2" width="38" customWidth="1"/>
    <col min="3" max="3" width="14" customWidth="1"/>
    <col min="4" max="4" width="38" hidden="1" customWidth="1"/>
  </cols>
  <sheetData>
    <row r="1" ht="16.8" spans="1:7">
      <c r="A1" s="1" t="s">
        <v>517</v>
      </c>
    </row>
    <row r="2" spans="1:7">
      <c r="A2" s="9" t="s">
        <v>1</v>
      </c>
      <c r="B2" s="11" t="s">
        <v>518</v>
      </c>
    </row>
    <row r="3" spans="1:7">
      <c r="A3" s="9" t="s">
        <v>3</v>
      </c>
      <c r="B3" s="12">
        <v>2000</v>
      </c>
      <c r="F3" t="s">
        <v>4</v>
      </c>
      <c r="G3" t="s">
        <v>5</v>
      </c>
    </row>
    <row r="4" spans="1:7">
      <c r="A4" s="9" t="s">
        <v>6</v>
      </c>
      <c r="B4" s="11">
        <v>31</v>
      </c>
      <c r="F4">
        <v>31</v>
      </c>
      <c r="G4">
        <v>30</v>
      </c>
    </row>
    <row r="5" spans="1:7">
      <c r="A5" s="9" t="s">
        <v>8</v>
      </c>
      <c r="B5" s="11" t="s">
        <v>9</v>
      </c>
    </row>
    <row r="6" spans="1:7">
      <c r="A6" s="9" t="s">
        <v>10</v>
      </c>
      <c r="B6" s="11">
        <v>1</v>
      </c>
    </row>
    <row r="7" spans="1:7">
      <c r="A7" s="3" t="s">
        <v>11</v>
      </c>
      <c r="B7" s="3" t="s">
        <v>12</v>
      </c>
      <c r="C7" s="3" t="s">
        <v>13</v>
      </c>
      <c r="D7" s="3" t="s">
        <v>14</v>
      </c>
    </row>
    <row r="8" spans="1:7">
      <c r="A8" s="4">
        <v>1</v>
      </c>
      <c r="B8" s="6" t="s">
        <v>431</v>
      </c>
      <c r="C8" s="13">
        <v>972</v>
      </c>
      <c r="D8" s="6" t="s">
        <v>432</v>
      </c>
    </row>
    <row r="9" spans="1:7">
      <c r="A9" s="4">
        <v>2</v>
      </c>
      <c r="B9" s="6" t="s">
        <v>232</v>
      </c>
      <c r="C9" s="13">
        <v>972</v>
      </c>
      <c r="D9" s="6" t="s">
        <v>233</v>
      </c>
    </row>
    <row r="10" spans="1:7">
      <c r="A10" s="4">
        <v>3</v>
      </c>
      <c r="B10" s="6" t="s">
        <v>198</v>
      </c>
      <c r="C10" s="13">
        <v>850.5</v>
      </c>
      <c r="D10" s="6" t="s">
        <v>199</v>
      </c>
    </row>
    <row r="11" spans="1:7">
      <c r="A11" s="4">
        <v>4</v>
      </c>
      <c r="B11" s="6" t="s">
        <v>246</v>
      </c>
      <c r="C11" s="13">
        <v>729</v>
      </c>
      <c r="D11" s="6" t="s">
        <v>247</v>
      </c>
    </row>
    <row r="12" spans="1:7">
      <c r="A12" s="4">
        <v>5</v>
      </c>
      <c r="B12" s="6" t="s">
        <v>83</v>
      </c>
      <c r="C12" s="13">
        <v>607.5</v>
      </c>
      <c r="D12" s="6" t="s">
        <v>84</v>
      </c>
    </row>
    <row r="13" spans="1:7">
      <c r="A13" s="4">
        <v>6</v>
      </c>
      <c r="B13" s="6" t="s">
        <v>244</v>
      </c>
      <c r="C13" s="13">
        <v>546.75</v>
      </c>
      <c r="D13" s="6" t="s">
        <v>245</v>
      </c>
    </row>
    <row r="14" spans="1:7">
      <c r="A14" s="4">
        <v>7</v>
      </c>
      <c r="B14" s="6" t="s">
        <v>503</v>
      </c>
      <c r="C14" s="13">
        <v>486</v>
      </c>
      <c r="D14" s="6" t="s">
        <v>504</v>
      </c>
    </row>
    <row r="15" spans="1:7">
      <c r="A15" s="4">
        <v>8</v>
      </c>
      <c r="B15" s="6" t="s">
        <v>89</v>
      </c>
      <c r="C15" s="13">
        <v>425.25</v>
      </c>
      <c r="D15" s="6" t="s">
        <v>90</v>
      </c>
    </row>
    <row r="16" spans="1:7">
      <c r="A16" s="4">
        <v>9</v>
      </c>
      <c r="B16" s="6" t="s">
        <v>132</v>
      </c>
      <c r="C16" s="13">
        <v>364.5</v>
      </c>
      <c r="D16" s="6" t="s">
        <v>133</v>
      </c>
    </row>
    <row r="17" spans="1:4">
      <c r="A17" s="4">
        <v>10</v>
      </c>
      <c r="B17" s="6" t="s">
        <v>228</v>
      </c>
      <c r="C17" s="13">
        <v>10</v>
      </c>
      <c r="D17" s="6" t="s">
        <v>229</v>
      </c>
    </row>
    <row r="18" spans="1:4">
      <c r="A18" s="4">
        <v>11</v>
      </c>
      <c r="B18" s="6" t="s">
        <v>144</v>
      </c>
      <c r="C18" s="13">
        <v>10</v>
      </c>
      <c r="D18" s="6" t="s">
        <v>145</v>
      </c>
    </row>
    <row r="19" spans="1:4">
      <c r="A19" s="4">
        <v>12</v>
      </c>
      <c r="B19" s="6" t="s">
        <v>126</v>
      </c>
      <c r="C19" s="13">
        <v>10</v>
      </c>
      <c r="D19" s="6" t="s">
        <v>127</v>
      </c>
    </row>
    <row r="20" spans="1:4">
      <c r="A20" s="4">
        <v>13</v>
      </c>
      <c r="B20" s="6" t="s">
        <v>142</v>
      </c>
      <c r="C20" s="13">
        <v>10</v>
      </c>
      <c r="D20" s="6" t="s">
        <v>143</v>
      </c>
    </row>
    <row r="21" spans="1:4">
      <c r="A21" s="4">
        <v>14</v>
      </c>
      <c r="B21" s="6" t="s">
        <v>25</v>
      </c>
      <c r="C21" s="13">
        <v>10</v>
      </c>
      <c r="D21" s="6" t="s">
        <v>26</v>
      </c>
    </row>
    <row r="22" spans="1:4">
      <c r="A22" s="4">
        <v>15</v>
      </c>
      <c r="B22" s="6" t="s">
        <v>53</v>
      </c>
      <c r="C22" s="13">
        <v>10</v>
      </c>
      <c r="D22" s="6" t="s">
        <v>54</v>
      </c>
    </row>
    <row r="23" spans="1:4">
      <c r="A23" s="4">
        <v>16</v>
      </c>
      <c r="B23" s="6" t="s">
        <v>226</v>
      </c>
      <c r="C23" s="13">
        <v>10</v>
      </c>
      <c r="D23" s="6" t="s">
        <v>227</v>
      </c>
    </row>
    <row r="24" spans="1:4">
      <c r="A24" s="4">
        <v>17</v>
      </c>
      <c r="B24" s="6" t="s">
        <v>122</v>
      </c>
      <c r="C24" s="13">
        <v>10</v>
      </c>
      <c r="D24" s="6" t="s">
        <v>123</v>
      </c>
    </row>
    <row r="25" spans="1:4">
      <c r="A25" s="4">
        <v>18</v>
      </c>
      <c r="B25" s="6" t="s">
        <v>188</v>
      </c>
      <c r="C25" s="13">
        <v>10</v>
      </c>
      <c r="D25" s="6" t="s">
        <v>189</v>
      </c>
    </row>
    <row r="26" spans="1:4">
      <c r="A26" s="4">
        <v>19</v>
      </c>
      <c r="B26" s="6" t="s">
        <v>212</v>
      </c>
      <c r="C26" s="13">
        <v>10</v>
      </c>
      <c r="D26" s="6" t="s">
        <v>213</v>
      </c>
    </row>
    <row r="27" spans="1:4">
      <c r="A27" s="4">
        <v>20</v>
      </c>
      <c r="B27" s="6" t="s">
        <v>218</v>
      </c>
      <c r="C27" s="13">
        <v>10</v>
      </c>
      <c r="D27" s="6" t="s">
        <v>219</v>
      </c>
    </row>
    <row r="28" spans="1:4">
      <c r="A28" s="4">
        <v>21</v>
      </c>
      <c r="B28" s="6" t="s">
        <v>71</v>
      </c>
      <c r="C28" s="13">
        <v>10</v>
      </c>
      <c r="D28" s="6" t="s">
        <v>72</v>
      </c>
    </row>
    <row r="29" spans="1:4">
      <c r="A29" s="4">
        <v>22</v>
      </c>
      <c r="B29" s="6" t="s">
        <v>19</v>
      </c>
      <c r="C29" s="13">
        <v>10</v>
      </c>
      <c r="D29" s="6" t="s">
        <v>20</v>
      </c>
    </row>
    <row r="30" spans="1:4">
      <c r="A30" s="4">
        <v>23</v>
      </c>
      <c r="B30" s="6" t="s">
        <v>115</v>
      </c>
      <c r="C30" s="13">
        <v>10</v>
      </c>
      <c r="D30" s="6" t="s">
        <v>116</v>
      </c>
    </row>
    <row r="31" spans="1:4">
      <c r="A31" s="4">
        <v>24</v>
      </c>
      <c r="B31" s="6" t="s">
        <v>15</v>
      </c>
      <c r="C31" s="13">
        <v>10</v>
      </c>
      <c r="D31" s="6" t="s">
        <v>16</v>
      </c>
    </row>
    <row r="32" spans="1:4">
      <c r="A32" s="4">
        <v>25</v>
      </c>
      <c r="B32" s="6" t="s">
        <v>146</v>
      </c>
      <c r="C32" s="13">
        <v>10</v>
      </c>
      <c r="D32" s="6" t="s">
        <v>147</v>
      </c>
    </row>
    <row r="33" spans="1:4">
      <c r="A33" s="4">
        <v>26</v>
      </c>
      <c r="B33" s="6" t="s">
        <v>17</v>
      </c>
      <c r="C33" s="13">
        <v>10</v>
      </c>
      <c r="D33" s="6" t="s">
        <v>18</v>
      </c>
    </row>
    <row r="34" spans="1:4">
      <c r="A34" s="4">
        <v>27</v>
      </c>
      <c r="B34" s="6" t="s">
        <v>435</v>
      </c>
      <c r="C34" s="13">
        <v>10</v>
      </c>
      <c r="D34" s="6" t="s">
        <v>436</v>
      </c>
    </row>
    <row r="35" spans="1:4">
      <c r="A35" s="4">
        <v>28</v>
      </c>
      <c r="B35" s="6" t="s">
        <v>160</v>
      </c>
      <c r="C35" s="13">
        <v>10</v>
      </c>
      <c r="D35" s="6" t="s">
        <v>161</v>
      </c>
    </row>
    <row r="36" spans="1:4">
      <c r="A36" s="4">
        <v>29</v>
      </c>
      <c r="B36" s="6" t="s">
        <v>99</v>
      </c>
      <c r="C36" s="13">
        <v>10</v>
      </c>
      <c r="D36" s="6" t="s">
        <v>100</v>
      </c>
    </row>
    <row r="37" spans="1:4">
      <c r="A37" s="4">
        <v>30</v>
      </c>
      <c r="B37" s="6" t="s">
        <v>186</v>
      </c>
      <c r="C37" s="13">
        <v>10</v>
      </c>
      <c r="D37" s="6" t="s">
        <v>187</v>
      </c>
    </row>
    <row r="38" spans="1:4">
      <c r="A38" s="4">
        <v>31</v>
      </c>
      <c r="B38" s="6" t="s">
        <v>383</v>
      </c>
      <c r="C38" s="13">
        <v>10</v>
      </c>
      <c r="D38" s="6" t="s">
        <v>384</v>
      </c>
    </row>
    <row r="40" spans="1:4">
      <c r="B40" s="9" t="s">
        <v>75</v>
      </c>
      <c r="C40" s="10">
        <f>SUM(C8:C38)</f>
        <v>6173.5</v>
      </c>
    </row>
    <row r="41" spans="1:4">
      <c r="B41" s="2" t="s">
        <v>76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workbookViewId="0">
      <pane ySplit="7" topLeftCell="A8" activePane="bottomLeft" state="frozen"/>
      <selection/>
      <selection pane="bottomLeft" activeCell="K38" sqref="K38"/>
    </sheetView>
  </sheetViews>
  <sheetFormatPr defaultColWidth="9" defaultRowHeight="14.4" outlineLevelCol="7"/>
  <cols>
    <col min="1" max="1" width="17.6666666666667" customWidth="1"/>
    <col min="2" max="2" width="38" customWidth="1"/>
    <col min="3" max="3" width="14" customWidth="1"/>
    <col min="4" max="4" width="38" hidden="1" customWidth="1"/>
  </cols>
  <sheetData>
    <row r="1" ht="16.8" spans="1:8">
      <c r="A1" s="1" t="s">
        <v>519</v>
      </c>
    </row>
    <row r="2" spans="1:8">
      <c r="A2" s="9" t="s">
        <v>1</v>
      </c>
      <c r="B2" s="11" t="s">
        <v>520</v>
      </c>
      <c r="G2" t="s">
        <v>4</v>
      </c>
      <c r="H2" t="s">
        <v>5</v>
      </c>
    </row>
    <row r="3" spans="1:8">
      <c r="A3" s="9" t="s">
        <v>3</v>
      </c>
      <c r="B3" s="12">
        <v>500</v>
      </c>
      <c r="G3">
        <v>23</v>
      </c>
      <c r="H3">
        <v>31</v>
      </c>
    </row>
    <row r="4" spans="1:8">
      <c r="A4" s="9" t="s">
        <v>6</v>
      </c>
      <c r="B4" s="11">
        <v>23</v>
      </c>
    </row>
    <row r="5" spans="1:8">
      <c r="A5" s="9" t="s">
        <v>8</v>
      </c>
      <c r="B5" s="11" t="s">
        <v>9</v>
      </c>
    </row>
    <row r="6" spans="1:8">
      <c r="A6" s="9" t="s">
        <v>10</v>
      </c>
      <c r="B6" s="11">
        <v>1</v>
      </c>
    </row>
    <row r="7" spans="1:8">
      <c r="A7" s="3" t="s">
        <v>11</v>
      </c>
      <c r="B7" s="3" t="s">
        <v>12</v>
      </c>
      <c r="C7" s="3" t="s">
        <v>13</v>
      </c>
      <c r="D7" s="3" t="s">
        <v>14</v>
      </c>
    </row>
    <row r="8" spans="1:8">
      <c r="A8" s="4">
        <v>1</v>
      </c>
      <c r="B8" s="6" t="s">
        <v>383</v>
      </c>
      <c r="C8" s="13">
        <v>730</v>
      </c>
      <c r="D8" s="6" t="s">
        <v>384</v>
      </c>
    </row>
    <row r="9" spans="1:8">
      <c r="A9" s="4">
        <v>2</v>
      </c>
      <c r="B9" s="6" t="s">
        <v>51</v>
      </c>
      <c r="C9" s="13">
        <v>584</v>
      </c>
      <c r="D9" s="6" t="s">
        <v>52</v>
      </c>
    </row>
    <row r="10" spans="1:8">
      <c r="A10" s="4">
        <v>3</v>
      </c>
      <c r="B10" s="6" t="s">
        <v>17</v>
      </c>
      <c r="C10" s="13">
        <v>511</v>
      </c>
      <c r="D10" s="6" t="s">
        <v>18</v>
      </c>
    </row>
    <row r="11" spans="1:8">
      <c r="A11" s="4">
        <v>4</v>
      </c>
      <c r="B11" s="6" t="s">
        <v>33</v>
      </c>
      <c r="C11" s="13">
        <v>438</v>
      </c>
      <c r="D11" s="6" t="s">
        <v>34</v>
      </c>
    </row>
    <row r="12" spans="1:8">
      <c r="A12" s="4">
        <v>5</v>
      </c>
      <c r="B12" s="6" t="s">
        <v>93</v>
      </c>
      <c r="C12" s="13">
        <v>365</v>
      </c>
      <c r="D12" s="6" t="s">
        <v>94</v>
      </c>
    </row>
    <row r="13" spans="1:8">
      <c r="A13" s="4">
        <v>6</v>
      </c>
      <c r="B13" s="6" t="s">
        <v>45</v>
      </c>
      <c r="C13" s="13">
        <v>328.5</v>
      </c>
      <c r="D13" s="6" t="s">
        <v>46</v>
      </c>
    </row>
    <row r="14" spans="1:8">
      <c r="A14" s="4">
        <v>7</v>
      </c>
      <c r="B14" s="6" t="s">
        <v>222</v>
      </c>
      <c r="C14" s="13">
        <v>292</v>
      </c>
      <c r="D14" s="6" t="s">
        <v>223</v>
      </c>
    </row>
    <row r="15" spans="1:8">
      <c r="A15" s="4">
        <v>8</v>
      </c>
      <c r="B15" s="6" t="s">
        <v>101</v>
      </c>
      <c r="C15" s="13">
        <v>10</v>
      </c>
      <c r="D15" s="6" t="s">
        <v>102</v>
      </c>
    </row>
    <row r="16" spans="1:8">
      <c r="A16" s="4">
        <v>9</v>
      </c>
      <c r="B16" s="6" t="s">
        <v>85</v>
      </c>
      <c r="C16" s="13">
        <v>10</v>
      </c>
      <c r="D16" s="6" t="s">
        <v>86</v>
      </c>
    </row>
    <row r="17" spans="1:4">
      <c r="A17" s="4">
        <v>10</v>
      </c>
      <c r="B17" s="6" t="s">
        <v>59</v>
      </c>
      <c r="C17" s="13">
        <v>10</v>
      </c>
      <c r="D17" s="6" t="s">
        <v>60</v>
      </c>
    </row>
    <row r="18" spans="1:4">
      <c r="A18" s="4">
        <v>11</v>
      </c>
      <c r="B18" s="6" t="s">
        <v>31</v>
      </c>
      <c r="C18" s="13">
        <v>10</v>
      </c>
      <c r="D18" s="6" t="s">
        <v>32</v>
      </c>
    </row>
    <row r="19" spans="1:4">
      <c r="A19" s="4">
        <v>12</v>
      </c>
      <c r="B19" s="6" t="s">
        <v>27</v>
      </c>
      <c r="C19" s="13">
        <v>10</v>
      </c>
      <c r="D19" s="6" t="s">
        <v>28</v>
      </c>
    </row>
    <row r="20" spans="1:4">
      <c r="A20" s="4">
        <v>13</v>
      </c>
      <c r="B20" s="6" t="s">
        <v>521</v>
      </c>
      <c r="C20" s="13">
        <v>10</v>
      </c>
      <c r="D20" s="6" t="s">
        <v>522</v>
      </c>
    </row>
    <row r="21" spans="1:4">
      <c r="A21" s="4">
        <v>14</v>
      </c>
      <c r="B21" s="6" t="s">
        <v>55</v>
      </c>
      <c r="C21" s="13">
        <v>10</v>
      </c>
      <c r="D21" s="6" t="s">
        <v>56</v>
      </c>
    </row>
    <row r="22" spans="1:4">
      <c r="A22" s="4">
        <v>14</v>
      </c>
      <c r="B22" s="6" t="s">
        <v>97</v>
      </c>
      <c r="C22" s="13">
        <v>10</v>
      </c>
      <c r="D22" s="6" t="s">
        <v>98</v>
      </c>
    </row>
    <row r="23" spans="1:4">
      <c r="A23" s="4">
        <v>15</v>
      </c>
      <c r="B23" s="6" t="s">
        <v>57</v>
      </c>
      <c r="C23" s="13">
        <v>10</v>
      </c>
      <c r="D23" s="6" t="s">
        <v>58</v>
      </c>
    </row>
    <row r="24" spans="1:4">
      <c r="A24" s="4">
        <v>16</v>
      </c>
      <c r="B24" s="6" t="s">
        <v>19</v>
      </c>
      <c r="C24" s="13">
        <v>10</v>
      </c>
      <c r="D24" s="6" t="s">
        <v>20</v>
      </c>
    </row>
    <row r="25" spans="1:4">
      <c r="A25" s="4">
        <v>17</v>
      </c>
      <c r="B25" s="6" t="s">
        <v>49</v>
      </c>
      <c r="C25" s="13">
        <v>10</v>
      </c>
      <c r="D25" s="6" t="s">
        <v>50</v>
      </c>
    </row>
    <row r="26" spans="1:4">
      <c r="A26" s="4">
        <v>18</v>
      </c>
      <c r="B26" s="6" t="s">
        <v>15</v>
      </c>
      <c r="C26" s="13">
        <v>10</v>
      </c>
      <c r="D26" s="6" t="s">
        <v>16</v>
      </c>
    </row>
    <row r="27" spans="1:4">
      <c r="A27" s="4">
        <v>19</v>
      </c>
      <c r="B27" s="6" t="s">
        <v>35</v>
      </c>
      <c r="C27" s="13">
        <v>10</v>
      </c>
      <c r="D27" s="6" t="s">
        <v>36</v>
      </c>
    </row>
    <row r="28" spans="1:4">
      <c r="A28" s="4">
        <v>20</v>
      </c>
      <c r="B28" s="6" t="s">
        <v>39</v>
      </c>
      <c r="C28" s="13">
        <v>10</v>
      </c>
      <c r="D28" s="6" t="s">
        <v>40</v>
      </c>
    </row>
    <row r="29" spans="1:4">
      <c r="A29" s="4">
        <v>21</v>
      </c>
      <c r="B29" s="6" t="s">
        <v>79</v>
      </c>
      <c r="C29" s="13">
        <v>10</v>
      </c>
      <c r="D29" s="6" t="s">
        <v>80</v>
      </c>
    </row>
    <row r="30" spans="1:4">
      <c r="A30" s="4">
        <v>22</v>
      </c>
      <c r="B30" s="6" t="s">
        <v>95</v>
      </c>
      <c r="C30" s="13">
        <v>10</v>
      </c>
      <c r="D30" s="6" t="s">
        <v>96</v>
      </c>
    </row>
    <row r="32" spans="1:4">
      <c r="B32" s="9" t="s">
        <v>75</v>
      </c>
      <c r="C32" s="10">
        <f>SUM(C8:C30)</f>
        <v>3408.5</v>
      </c>
    </row>
    <row r="33" spans="2:2">
      <c r="B33" s="2" t="s">
        <v>76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7"/>
  <sheetViews>
    <sheetView tabSelected="1" workbookViewId="0">
      <pane xSplit="3" ySplit="4" topLeftCell="D68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4"/>
  <cols>
    <col min="1" max="1" width="9" customWidth="1"/>
    <col min="2" max="2" width="34" customWidth="1"/>
    <col min="3" max="3" width="38" hidden="1" customWidth="1"/>
    <col min="4" max="4" width="13" customWidth="1"/>
    <col min="5" max="5" width="10" customWidth="1"/>
    <col min="6" max="16" width="14" customWidth="1"/>
  </cols>
  <sheetData>
    <row r="1" ht="16.8" spans="1:16">
      <c r="A1" s="1" t="s">
        <v>523</v>
      </c>
    </row>
    <row r="2" spans="1:16">
      <c r="A2" s="2" t="s">
        <v>524</v>
      </c>
    </row>
    <row r="4" ht="45" customHeight="1" spans="1:16">
      <c r="A4" s="3" t="s">
        <v>11</v>
      </c>
      <c r="B4" s="3" t="s">
        <v>12</v>
      </c>
      <c r="C4" s="3" t="s">
        <v>14</v>
      </c>
      <c r="D4" s="3" t="s">
        <v>525</v>
      </c>
      <c r="E4" s="3" t="s">
        <v>526</v>
      </c>
      <c r="F4" s="3" t="s">
        <v>0</v>
      </c>
      <c r="G4" s="3" t="s">
        <v>77</v>
      </c>
      <c r="H4" s="3" t="s">
        <v>109</v>
      </c>
      <c r="I4" s="3" t="s">
        <v>164</v>
      </c>
      <c r="J4" s="3" t="s">
        <v>168</v>
      </c>
      <c r="K4" s="3" t="s">
        <v>184</v>
      </c>
      <c r="L4" s="3" t="s">
        <v>527</v>
      </c>
      <c r="M4" s="3" t="s">
        <v>528</v>
      </c>
      <c r="N4" s="3" t="s">
        <v>489</v>
      </c>
      <c r="O4" s="3" t="s">
        <v>517</v>
      </c>
      <c r="P4" s="3" t="s">
        <v>519</v>
      </c>
    </row>
    <row r="5" spans="1:16">
      <c r="A5" s="4">
        <f t="shared" ref="A5:A68" si="0">RANK(D5,$D$5:$D$245)</f>
        <v>1</v>
      </c>
      <c r="B5" s="5" t="s">
        <v>105</v>
      </c>
      <c r="C5" s="6" t="s">
        <v>106</v>
      </c>
      <c r="D5" s="7">
        <f t="shared" ref="D5:D68" si="1">SUM(F5:P5)</f>
        <v>3810</v>
      </c>
      <c r="E5" s="4">
        <f>COUNTIF('200K OMAHA 5 K.O'!$D$8:$D$37,$C5)+COUNTIF(HORSE!$D$8:$D$26,$C5)+COUNTIF('SUPER K.O'!$D$8:$D$41,$C5)+COUNTIF('8 GAME'!$D$8:$D$21,$C5)+COUNTIF('100K OMAHA MYSTERY BOUNTY'!$D$8:$D$32,$C5)+COUNTIF('CHAMPIONSHIP HIGH ROLLER 200K'!$D$8:$D$72,$C5)+COUNTIF('PLO-NLH DEALER´S CHOICE PIJAMA'!$D$8:$D$27,$C5)+COUNTIF('Main Event SPT - Dia Final'!$D$8:$D$221,$C5)+COUNTIF('SECOND CHANCE'!$D$8:$D$86,$C5)+COUNTIF('HIGH ROLLER 50K'!$D$8:$D$38,$C5)+COUNTIF('OMAHA DEALER´S CHOICE'!$D$8:$D$30,$C5)</f>
        <v>4</v>
      </c>
      <c r="F5" s="8">
        <f>SUMIFS('200K OMAHA 5 K.O'!$C$8:$C$37,'200K OMAHA 5 K.O'!$D$8:$D$37,$C5)</f>
        <v>0</v>
      </c>
      <c r="G5" s="8">
        <f>SUMIFS(HORSE!$C$8:$C$26,HORSE!$D$8:$D$26,$C5)</f>
        <v>10</v>
      </c>
      <c r="H5" s="8">
        <f>SUMIFS('SUPER K.O'!$C$8:$C$41,'SUPER K.O'!$D$8:$D$41,$C5)</f>
        <v>10</v>
      </c>
      <c r="I5" s="8">
        <f>SUMIFS('8 GAME'!$C$8:$C$21,'8 GAME'!$D$8:$D$21,$C5)</f>
        <v>0</v>
      </c>
      <c r="J5" s="8">
        <f>SUMIFS('100K OMAHA MYSTERY BOUNTY'!$C$8:$C$32,'100K OMAHA MYSTERY BOUNTY'!$D$8:$D$32,$C5)</f>
        <v>0</v>
      </c>
      <c r="K5" s="8">
        <f>SUMIFS('CHAMPIONSHIP HIGH ROLLER 200K'!$C$8:$C$72,'CHAMPIONSHIP HIGH ROLLER 200K'!$D$8:$D$72,$C5)</f>
        <v>0</v>
      </c>
      <c r="L5" s="8">
        <f>SUMIFS('PLO-NLH DEALER´S CHOICE PIJAMA'!$C$8:$C$27,'PLO-NLH DEALER´S CHOICE PIJAMA'!$D$8:$D$27,$C5)</f>
        <v>10</v>
      </c>
      <c r="M5" s="8">
        <f>SUMIFS('Main Event SPT - Dia Final'!$C$8:$C$221,'Main Event SPT - Dia Final'!$D$8:$D$221,$C5)</f>
        <v>3780</v>
      </c>
      <c r="N5" s="8">
        <f>SUMIFS('SECOND CHANCE'!$C$8:$C$86,'SECOND CHANCE'!$D$8:$D$86,$C5)</f>
        <v>0</v>
      </c>
      <c r="O5" s="8">
        <f>SUMIFS('HIGH ROLLER 50K'!$C$8:$C$38,'HIGH ROLLER 50K'!$D$8:$D$38,$C5)</f>
        <v>0</v>
      </c>
      <c r="P5" s="8">
        <f>SUMIFS('OMAHA DEALER´S CHOICE'!$C$8:$C$30,'OMAHA DEALER´S CHOICE'!$D$8:$D$30,$C5)</f>
        <v>0</v>
      </c>
    </row>
    <row r="6" spans="1:16">
      <c r="A6" s="4">
        <f t="shared" si="0"/>
        <v>2</v>
      </c>
      <c r="B6" s="5" t="s">
        <v>101</v>
      </c>
      <c r="C6" s="6" t="s">
        <v>102</v>
      </c>
      <c r="D6" s="7">
        <f t="shared" si="1"/>
        <v>3504.8</v>
      </c>
      <c r="E6" s="4">
        <f>COUNTIF('200K OMAHA 5 K.O'!$D$8:$D$37,$C6)+COUNTIF(HORSE!$D$8:$D$26,$C6)+COUNTIF('SUPER K.O'!$D$8:$D$41,$C6)+COUNTIF('8 GAME'!$D$8:$D$21,$C6)+COUNTIF('100K OMAHA MYSTERY BOUNTY'!$D$8:$D$32,$C6)+COUNTIF('CHAMPIONSHIP HIGH ROLLER 200K'!$D$8:$D$72,$C6)+COUNTIF('PLO-NLH DEALER´S CHOICE PIJAMA'!$D$8:$D$27,$C6)+COUNTIF('Main Event SPT - Dia Final'!$D$8:$D$221,$C6)+COUNTIF('SECOND CHANCE'!$D$8:$D$86,$C6)+COUNTIF('HIGH ROLLER 50K'!$D$8:$D$38,$C6)+COUNTIF('OMAHA DEALER´S CHOICE'!$D$8:$D$30,$C6)</f>
        <v>4</v>
      </c>
      <c r="F6" s="8">
        <f>SUMIFS('200K OMAHA 5 K.O'!$C$8:$C$37,'200K OMAHA 5 K.O'!$D$8:$D$37,$C6)</f>
        <v>0</v>
      </c>
      <c r="G6" s="8">
        <f>SUMIFS(HORSE!$C$8:$C$26,HORSE!$D$8:$D$26,$C6)</f>
        <v>10</v>
      </c>
      <c r="H6" s="8">
        <f>SUMIFS('SUPER K.O'!$C$8:$C$41,'SUPER K.O'!$D$8:$D$41,$C6)</f>
        <v>0</v>
      </c>
      <c r="I6" s="8">
        <f>SUMIFS('8 GAME'!$C$8:$C$21,'8 GAME'!$D$8:$D$21,$C6)</f>
        <v>460.8</v>
      </c>
      <c r="J6" s="8">
        <f>SUMIFS('100K OMAHA MYSTERY BOUNTY'!$C$8:$C$32,'100K OMAHA MYSTERY BOUNTY'!$D$8:$D$32,$C6)</f>
        <v>0</v>
      </c>
      <c r="K6" s="8">
        <f>SUMIFS('CHAMPIONSHIP HIGH ROLLER 200K'!$C$8:$C$72,'CHAMPIONSHIP HIGH ROLLER 200K'!$D$8:$D$72,$C6)</f>
        <v>0</v>
      </c>
      <c r="L6" s="8">
        <f>SUMIFS('PLO-NLH DEALER´S CHOICE PIJAMA'!$C$8:$C$27,'PLO-NLH DEALER´S CHOICE PIJAMA'!$D$8:$D$27,$C6)</f>
        <v>0</v>
      </c>
      <c r="M6" s="8">
        <f>SUMIFS('Main Event SPT - Dia Final'!$C$8:$C$221,'Main Event SPT - Dia Final'!$D$8:$D$221,$C6)</f>
        <v>3024</v>
      </c>
      <c r="N6" s="8">
        <f>SUMIFS('SECOND CHANCE'!$C$8:$C$86,'SECOND CHANCE'!$D$8:$D$86,$C6)</f>
        <v>0</v>
      </c>
      <c r="O6" s="8">
        <f>SUMIFS('HIGH ROLLER 50K'!$C$8:$C$38,'HIGH ROLLER 50K'!$D$8:$D$38,$C6)</f>
        <v>0</v>
      </c>
      <c r="P6" s="8">
        <f>SUMIFS('OMAHA DEALER´S CHOICE'!$C$8:$C$30,'OMAHA DEALER´S CHOICE'!$D$8:$D$30,$C6)</f>
        <v>10</v>
      </c>
    </row>
    <row r="7" spans="1:16">
      <c r="A7" s="4">
        <f t="shared" si="0"/>
        <v>3</v>
      </c>
      <c r="B7" s="5" t="s">
        <v>17</v>
      </c>
      <c r="C7" s="6" t="s">
        <v>18</v>
      </c>
      <c r="D7" s="7">
        <f t="shared" si="1"/>
        <v>3157</v>
      </c>
      <c r="E7" s="4">
        <f>COUNTIF('200K OMAHA 5 K.O'!$D$8:$D$37,$C7)+COUNTIF(HORSE!$D$8:$D$26,$C7)+COUNTIF('SUPER K.O'!$D$8:$D$41,$C7)+COUNTIF('8 GAME'!$D$8:$D$21,$C7)+COUNTIF('100K OMAHA MYSTERY BOUNTY'!$D$8:$D$32,$C7)+COUNTIF('CHAMPIONSHIP HIGH ROLLER 200K'!$D$8:$D$72,$C7)+COUNTIF('PLO-NLH DEALER´S CHOICE PIJAMA'!$D$8:$D$27,$C7)+COUNTIF('Main Event SPT - Dia Final'!$D$8:$D$221,$C7)+COUNTIF('SECOND CHANCE'!$D$8:$D$86,$C7)+COUNTIF('HIGH ROLLER 50K'!$D$8:$D$38,$C7)+COUNTIF('OMAHA DEALER´S CHOICE'!$D$8:$D$30,$C7)</f>
        <v>7</v>
      </c>
      <c r="F7" s="8">
        <f>SUMIFS('200K OMAHA 5 K.O'!$C$8:$C$37,'200K OMAHA 5 K.O'!$D$8:$D$37,$C7)</f>
        <v>960</v>
      </c>
      <c r="G7" s="8">
        <f>SUMIFS(HORSE!$C$8:$C$26,HORSE!$D$8:$D$26,$C7)</f>
        <v>0</v>
      </c>
      <c r="H7" s="8">
        <f>SUMIFS('SUPER K.O'!$C$8:$C$41,'SUPER K.O'!$D$8:$D$41,$C7)</f>
        <v>0</v>
      </c>
      <c r="I7" s="8">
        <f>SUMIFS('8 GAME'!$C$8:$C$21,'8 GAME'!$D$8:$D$21,$C7)</f>
        <v>0</v>
      </c>
      <c r="J7" s="8">
        <f>SUMIFS('100K OMAHA MYSTERY BOUNTY'!$C$8:$C$32,'100K OMAHA MYSTERY BOUNTY'!$D$8:$D$32,$C7)</f>
        <v>900</v>
      </c>
      <c r="K7" s="8">
        <f>SUMIFS('CHAMPIONSHIP HIGH ROLLER 200K'!$C$8:$C$72,'CHAMPIONSHIP HIGH ROLLER 200K'!$D$8:$D$72,$C7)</f>
        <v>10</v>
      </c>
      <c r="L7" s="8">
        <f>SUMIFS('PLO-NLH DEALER´S CHOICE PIJAMA'!$C$8:$C$27,'PLO-NLH DEALER´S CHOICE PIJAMA'!$D$8:$D$27,$C7)</f>
        <v>0</v>
      </c>
      <c r="M7" s="8">
        <f>SUMIFS('Main Event SPT - Dia Final'!$C$8:$C$221,'Main Event SPT - Dia Final'!$D$8:$D$221,$C7)</f>
        <v>756</v>
      </c>
      <c r="N7" s="8">
        <f>SUMIFS('SECOND CHANCE'!$C$8:$C$86,'SECOND CHANCE'!$D$8:$D$86,$C7)</f>
        <v>10</v>
      </c>
      <c r="O7" s="8">
        <f>SUMIFS('HIGH ROLLER 50K'!$C$8:$C$38,'HIGH ROLLER 50K'!$D$8:$D$38,$C7)</f>
        <v>10</v>
      </c>
      <c r="P7" s="8">
        <f>SUMIFS('OMAHA DEALER´S CHOICE'!$C$8:$C$30,'OMAHA DEALER´S CHOICE'!$D$8:$D$30,$C7)</f>
        <v>511</v>
      </c>
    </row>
    <row r="8" spans="1:16">
      <c r="A8" s="4">
        <f t="shared" si="0"/>
        <v>4</v>
      </c>
      <c r="B8" s="5" t="s">
        <v>117</v>
      </c>
      <c r="C8" s="6" t="s">
        <v>118</v>
      </c>
      <c r="D8" s="7">
        <f t="shared" si="1"/>
        <v>2678</v>
      </c>
      <c r="E8" s="4">
        <f>COUNTIF('200K OMAHA 5 K.O'!$D$8:$D$37,$C8)+COUNTIF(HORSE!$D$8:$D$26,$C8)+COUNTIF('SUPER K.O'!$D$8:$D$41,$C8)+COUNTIF('8 GAME'!$D$8:$D$21,$C8)+COUNTIF('100K OMAHA MYSTERY BOUNTY'!$D$8:$D$32,$C8)+COUNTIF('CHAMPIONSHIP HIGH ROLLER 200K'!$D$8:$D$72,$C8)+COUNTIF('PLO-NLH DEALER´S CHOICE PIJAMA'!$D$8:$D$27,$C8)+COUNTIF('Main Event SPT - Dia Final'!$D$8:$D$221,$C8)+COUNTIF('SECOND CHANCE'!$D$8:$D$86,$C8)+COUNTIF('HIGH ROLLER 50K'!$D$8:$D$38,$C8)+COUNTIF('OMAHA DEALER´S CHOICE'!$D$8:$D$30,$C8)</f>
        <v>2</v>
      </c>
      <c r="F8" s="8">
        <f>SUMIFS('200K OMAHA 5 K.O'!$C$8:$C$37,'200K OMAHA 5 K.O'!$D$8:$D$37,$C8)</f>
        <v>0</v>
      </c>
      <c r="G8" s="8">
        <f>SUMIFS(HORSE!$C$8:$C$26,HORSE!$D$8:$D$26,$C8)</f>
        <v>0</v>
      </c>
      <c r="H8" s="8">
        <f>SUMIFS('SUPER K.O'!$C$8:$C$41,'SUPER K.O'!$D$8:$D$41,$C8)</f>
        <v>378</v>
      </c>
      <c r="I8" s="8">
        <f>SUMIFS('8 GAME'!$C$8:$C$21,'8 GAME'!$D$8:$D$21,$C8)</f>
        <v>0</v>
      </c>
      <c r="J8" s="8">
        <f>SUMIFS('100K OMAHA MYSTERY BOUNTY'!$C$8:$C$32,'100K OMAHA MYSTERY BOUNTY'!$D$8:$D$32,$C8)</f>
        <v>0</v>
      </c>
      <c r="K8" s="8">
        <f>SUMIFS('CHAMPIONSHIP HIGH ROLLER 200K'!$C$8:$C$72,'CHAMPIONSHIP HIGH ROLLER 200K'!$D$8:$D$72,$C8)</f>
        <v>2300</v>
      </c>
      <c r="L8" s="8">
        <f>SUMIFS('PLO-NLH DEALER´S CHOICE PIJAMA'!$C$8:$C$27,'PLO-NLH DEALER´S CHOICE PIJAMA'!$D$8:$D$27,$C8)</f>
        <v>0</v>
      </c>
      <c r="M8" s="8">
        <f>SUMIFS('Main Event SPT - Dia Final'!$C$8:$C$221,'Main Event SPT - Dia Final'!$D$8:$D$221,$C8)</f>
        <v>0</v>
      </c>
      <c r="N8" s="8">
        <f>SUMIFS('SECOND CHANCE'!$C$8:$C$86,'SECOND CHANCE'!$D$8:$D$86,$C8)</f>
        <v>0</v>
      </c>
      <c r="O8" s="8">
        <f>SUMIFS('HIGH ROLLER 50K'!$C$8:$C$38,'HIGH ROLLER 50K'!$D$8:$D$38,$C8)</f>
        <v>0</v>
      </c>
      <c r="P8" s="8">
        <f>SUMIFS('OMAHA DEALER´S CHOICE'!$C$8:$C$30,'OMAHA DEALER´S CHOICE'!$D$8:$D$30,$C8)</f>
        <v>0</v>
      </c>
    </row>
    <row r="9" spans="1:16">
      <c r="A9" s="4">
        <f t="shared" si="0"/>
        <v>5</v>
      </c>
      <c r="B9" s="5" t="s">
        <v>273</v>
      </c>
      <c r="C9" s="6" t="s">
        <v>274</v>
      </c>
      <c r="D9" s="7">
        <f t="shared" si="1"/>
        <v>2646</v>
      </c>
      <c r="E9" s="4">
        <f>COUNTIF('200K OMAHA 5 K.O'!$D$8:$D$37,$C9)+COUNTIF(HORSE!$D$8:$D$26,$C9)+COUNTIF('SUPER K.O'!$D$8:$D$41,$C9)+COUNTIF('8 GAME'!$D$8:$D$21,$C9)+COUNTIF('100K OMAHA MYSTERY BOUNTY'!$D$8:$D$32,$C9)+COUNTIF('CHAMPIONSHIP HIGH ROLLER 200K'!$D$8:$D$72,$C9)+COUNTIF('PLO-NLH DEALER´S CHOICE PIJAMA'!$D$8:$D$27,$C9)+COUNTIF('Main Event SPT - Dia Final'!$D$8:$D$221,$C9)+COUNTIF('SECOND CHANCE'!$D$8:$D$86,$C9)+COUNTIF('HIGH ROLLER 50K'!$D$8:$D$38,$C9)+COUNTIF('OMAHA DEALER´S CHOICE'!$D$8:$D$30,$C9)</f>
        <v>1</v>
      </c>
      <c r="F9" s="8">
        <f>SUMIFS('200K OMAHA 5 K.O'!$C$8:$C$37,'200K OMAHA 5 K.O'!$D$8:$D$37,$C9)</f>
        <v>0</v>
      </c>
      <c r="G9" s="8">
        <f>SUMIFS(HORSE!$C$8:$C$26,HORSE!$D$8:$D$26,$C9)</f>
        <v>0</v>
      </c>
      <c r="H9" s="8">
        <f>SUMIFS('SUPER K.O'!$C$8:$C$41,'SUPER K.O'!$D$8:$D$41,$C9)</f>
        <v>0</v>
      </c>
      <c r="I9" s="8">
        <f>SUMIFS('8 GAME'!$C$8:$C$21,'8 GAME'!$D$8:$D$21,$C9)</f>
        <v>0</v>
      </c>
      <c r="J9" s="8">
        <f>SUMIFS('100K OMAHA MYSTERY BOUNTY'!$C$8:$C$32,'100K OMAHA MYSTERY BOUNTY'!$D$8:$D$32,$C9)</f>
        <v>0</v>
      </c>
      <c r="K9" s="8">
        <f>SUMIFS('CHAMPIONSHIP HIGH ROLLER 200K'!$C$8:$C$72,'CHAMPIONSHIP HIGH ROLLER 200K'!$D$8:$D$72,$C9)</f>
        <v>0</v>
      </c>
      <c r="L9" s="8">
        <f>SUMIFS('PLO-NLH DEALER´S CHOICE PIJAMA'!$C$8:$C$27,'PLO-NLH DEALER´S CHOICE PIJAMA'!$D$8:$D$27,$C9)</f>
        <v>0</v>
      </c>
      <c r="M9" s="8">
        <f>SUMIFS('Main Event SPT - Dia Final'!$C$8:$C$221,'Main Event SPT - Dia Final'!$D$8:$D$221,$C9)</f>
        <v>2646</v>
      </c>
      <c r="N9" s="8">
        <f>SUMIFS('SECOND CHANCE'!$C$8:$C$86,'SECOND CHANCE'!$D$8:$D$86,$C9)</f>
        <v>0</v>
      </c>
      <c r="O9" s="8">
        <f>SUMIFS('HIGH ROLLER 50K'!$C$8:$C$38,'HIGH ROLLER 50K'!$D$8:$D$38,$C9)</f>
        <v>0</v>
      </c>
      <c r="P9" s="8">
        <f>SUMIFS('OMAHA DEALER´S CHOICE'!$C$8:$C$30,'OMAHA DEALER´S CHOICE'!$D$8:$D$30,$C9)</f>
        <v>0</v>
      </c>
    </row>
    <row r="10" spans="1:16">
      <c r="A10" s="4">
        <f t="shared" si="0"/>
        <v>6</v>
      </c>
      <c r="B10" s="5" t="s">
        <v>49</v>
      </c>
      <c r="C10" s="6" t="s">
        <v>50</v>
      </c>
      <c r="D10" s="7">
        <f t="shared" si="1"/>
        <v>2640</v>
      </c>
      <c r="E10" s="4">
        <f>COUNTIF('200K OMAHA 5 K.O'!$D$8:$D$37,$C10)+COUNTIF(HORSE!$D$8:$D$26,$C10)+COUNTIF('SUPER K.O'!$D$8:$D$41,$C10)+COUNTIF('8 GAME'!$D$8:$D$21,$C10)+COUNTIF('100K OMAHA MYSTERY BOUNTY'!$D$8:$D$32,$C10)+COUNTIF('CHAMPIONSHIP HIGH ROLLER 200K'!$D$8:$D$72,$C10)+COUNTIF('PLO-NLH DEALER´S CHOICE PIJAMA'!$D$8:$D$27,$C10)+COUNTIF('Main Event SPT - Dia Final'!$D$8:$D$221,$C10)+COUNTIF('SECOND CHANCE'!$D$8:$D$86,$C10)+COUNTIF('HIGH ROLLER 50K'!$D$8:$D$38,$C10)+COUNTIF('OMAHA DEALER´S CHOICE'!$D$8:$D$30,$C10)</f>
        <v>7</v>
      </c>
      <c r="F10" s="8">
        <f>SUMIFS('200K OMAHA 5 K.O'!$C$8:$C$37,'200K OMAHA 5 K.O'!$D$8:$D$37,$C10)</f>
        <v>10</v>
      </c>
      <c r="G10" s="8">
        <f>SUMIFS(HORSE!$C$8:$C$26,HORSE!$D$8:$D$26,$C10)</f>
        <v>0</v>
      </c>
      <c r="H10" s="8">
        <f>SUMIFS('SUPER K.O'!$C$8:$C$41,'SUPER K.O'!$D$8:$D$41,$C10)</f>
        <v>10</v>
      </c>
      <c r="I10" s="8">
        <f>SUMIFS('8 GAME'!$C$8:$C$21,'8 GAME'!$D$8:$D$21,$C10)</f>
        <v>0</v>
      </c>
      <c r="J10" s="8">
        <f>SUMIFS('100K OMAHA MYSTERY BOUNTY'!$C$8:$C$32,'100K OMAHA MYSTERY BOUNTY'!$D$8:$D$32,$C10)</f>
        <v>10</v>
      </c>
      <c r="K10" s="8">
        <f>SUMIFS('CHAMPIONSHIP HIGH ROLLER 200K'!$C$8:$C$72,'CHAMPIONSHIP HIGH ROLLER 200K'!$D$8:$D$72,$C10)</f>
        <v>10</v>
      </c>
      <c r="L10" s="8">
        <f>SUMIFS('PLO-NLH DEALER´S CHOICE PIJAMA'!$C$8:$C$27,'PLO-NLH DEALER´S CHOICE PIJAMA'!$D$8:$D$27,$C10)</f>
        <v>700</v>
      </c>
      <c r="M10" s="8">
        <f>SUMIFS('Main Event SPT - Dia Final'!$C$8:$C$221,'Main Event SPT - Dia Final'!$D$8:$D$221,$C10)</f>
        <v>1890</v>
      </c>
      <c r="N10" s="8">
        <f>SUMIFS('SECOND CHANCE'!$C$8:$C$86,'SECOND CHANCE'!$D$8:$D$86,$C10)</f>
        <v>0</v>
      </c>
      <c r="O10" s="8">
        <f>SUMIFS('HIGH ROLLER 50K'!$C$8:$C$38,'HIGH ROLLER 50K'!$D$8:$D$38,$C10)</f>
        <v>0</v>
      </c>
      <c r="P10" s="8">
        <f>SUMIFS('OMAHA DEALER´S CHOICE'!$C$8:$C$30,'OMAHA DEALER´S CHOICE'!$D$8:$D$30,$C10)</f>
        <v>10</v>
      </c>
    </row>
    <row r="11" spans="1:16">
      <c r="A11" s="4">
        <f t="shared" si="0"/>
        <v>7</v>
      </c>
      <c r="B11" s="5" t="s">
        <v>138</v>
      </c>
      <c r="C11" s="6" t="s">
        <v>139</v>
      </c>
      <c r="D11" s="7">
        <f t="shared" si="1"/>
        <v>2588</v>
      </c>
      <c r="E11" s="4">
        <f>COUNTIF('200K OMAHA 5 K.O'!$D$8:$D$37,$C11)+COUNTIF(HORSE!$D$8:$D$26,$C11)+COUNTIF('SUPER K.O'!$D$8:$D$41,$C11)+COUNTIF('8 GAME'!$D$8:$D$21,$C11)+COUNTIF('100K OMAHA MYSTERY BOUNTY'!$D$8:$D$32,$C11)+COUNTIF('CHAMPIONSHIP HIGH ROLLER 200K'!$D$8:$D$72,$C11)+COUNTIF('PLO-NLH DEALER´S CHOICE PIJAMA'!$D$8:$D$27,$C11)+COUNTIF('Main Event SPT - Dia Final'!$D$8:$D$221,$C11)+COUNTIF('SECOND CHANCE'!$D$8:$D$86,$C11)+COUNTIF('HIGH ROLLER 50K'!$D$8:$D$38,$C11)+COUNTIF('OMAHA DEALER´S CHOICE'!$D$8:$D$30,$C11)</f>
        <v>5</v>
      </c>
      <c r="F11" s="8">
        <f>SUMIFS('200K OMAHA 5 K.O'!$C$8:$C$37,'200K OMAHA 5 K.O'!$D$8:$D$37,$C11)</f>
        <v>0</v>
      </c>
      <c r="G11" s="8">
        <f>SUMIFS(HORSE!$C$8:$C$26,HORSE!$D$8:$D$26,$C11)</f>
        <v>0</v>
      </c>
      <c r="H11" s="8">
        <f>SUMIFS('SUPER K.O'!$C$8:$C$41,'SUPER K.O'!$D$8:$D$41,$C11)</f>
        <v>10</v>
      </c>
      <c r="I11" s="8">
        <f>SUMIFS('8 GAME'!$C$8:$C$21,'8 GAME'!$D$8:$D$21,$C11)</f>
        <v>0</v>
      </c>
      <c r="J11" s="8">
        <f>SUMIFS('100K OMAHA MYSTERY BOUNTY'!$C$8:$C$32,'100K OMAHA MYSTERY BOUNTY'!$D$8:$D$32,$C11)</f>
        <v>10</v>
      </c>
      <c r="K11" s="8">
        <f>SUMIFS('CHAMPIONSHIP HIGH ROLLER 200K'!$C$8:$C$72,'CHAMPIONSHIP HIGH ROLLER 200K'!$D$8:$D$72,$C11)</f>
        <v>2300</v>
      </c>
      <c r="L11" s="8">
        <f>SUMIFS('PLO-NLH DEALER´S CHOICE PIJAMA'!$C$8:$C$27,'PLO-NLH DEALER´S CHOICE PIJAMA'!$D$8:$D$27,$C11)</f>
        <v>0</v>
      </c>
      <c r="M11" s="8">
        <f>SUMIFS('Main Event SPT - Dia Final'!$C$8:$C$221,'Main Event SPT - Dia Final'!$D$8:$D$221,$C11)</f>
        <v>10</v>
      </c>
      <c r="N11" s="8">
        <f>SUMIFS('SECOND CHANCE'!$C$8:$C$86,'SECOND CHANCE'!$D$8:$D$86,$C11)</f>
        <v>258</v>
      </c>
      <c r="O11" s="8">
        <f>SUMIFS('HIGH ROLLER 50K'!$C$8:$C$38,'HIGH ROLLER 50K'!$D$8:$D$38,$C11)</f>
        <v>0</v>
      </c>
      <c r="P11" s="8">
        <f>SUMIFS('OMAHA DEALER´S CHOICE'!$C$8:$C$30,'OMAHA DEALER´S CHOICE'!$D$8:$D$30,$C11)</f>
        <v>0</v>
      </c>
    </row>
    <row r="12" spans="1:16">
      <c r="A12" s="4">
        <f t="shared" si="0"/>
        <v>8</v>
      </c>
      <c r="B12" s="5" t="s">
        <v>45</v>
      </c>
      <c r="C12" s="6" t="s">
        <v>46</v>
      </c>
      <c r="D12" s="7">
        <f t="shared" si="1"/>
        <v>2490.5</v>
      </c>
      <c r="E12" s="4">
        <f>COUNTIF('200K OMAHA 5 K.O'!$D$8:$D$37,$C12)+COUNTIF(HORSE!$D$8:$D$26,$C12)+COUNTIF('SUPER K.O'!$D$8:$D$41,$C12)+COUNTIF('8 GAME'!$D$8:$D$21,$C12)+COUNTIF('100K OMAHA MYSTERY BOUNTY'!$D$8:$D$32,$C12)+COUNTIF('CHAMPIONSHIP HIGH ROLLER 200K'!$D$8:$D$72,$C12)+COUNTIF('PLO-NLH DEALER´S CHOICE PIJAMA'!$D$8:$D$27,$C12)+COUNTIF('Main Event SPT - Dia Final'!$D$8:$D$221,$C12)+COUNTIF('SECOND CHANCE'!$D$8:$D$86,$C12)+COUNTIF('HIGH ROLLER 50K'!$D$8:$D$38,$C12)+COUNTIF('OMAHA DEALER´S CHOICE'!$D$8:$D$30,$C12)</f>
        <v>5</v>
      </c>
      <c r="F12" s="8">
        <f>SUMIFS('200K OMAHA 5 K.O'!$C$8:$C$37,'200K OMAHA 5 K.O'!$D$8:$D$37,$C12)</f>
        <v>10</v>
      </c>
      <c r="G12" s="8">
        <f>SUMIFS(HORSE!$C$8:$C$26,HORSE!$D$8:$D$26,$C12)</f>
        <v>0</v>
      </c>
      <c r="H12" s="8">
        <f>SUMIFS('SUPER K.O'!$C$8:$C$41,'SUPER K.O'!$D$8:$D$41,$C12)</f>
        <v>0</v>
      </c>
      <c r="I12" s="8">
        <f>SUMIFS('8 GAME'!$C$8:$C$21,'8 GAME'!$D$8:$D$21,$C12)</f>
        <v>0</v>
      </c>
      <c r="J12" s="8">
        <f>SUMIFS('100K OMAHA MYSTERY BOUNTY'!$C$8:$C$32,'100K OMAHA MYSTERY BOUNTY'!$D$8:$D$32,$C12)</f>
        <v>630</v>
      </c>
      <c r="K12" s="8">
        <f>SUMIFS('CHAMPIONSHIP HIGH ROLLER 200K'!$C$8:$C$72,'CHAMPIONSHIP HIGH ROLLER 200K'!$D$8:$D$72,$C12)</f>
        <v>10</v>
      </c>
      <c r="L12" s="8">
        <f>SUMIFS('PLO-NLH DEALER´S CHOICE PIJAMA'!$C$8:$C$27,'PLO-NLH DEALER´S CHOICE PIJAMA'!$D$8:$D$27,$C12)</f>
        <v>0</v>
      </c>
      <c r="M12" s="8">
        <f>SUMIFS('Main Event SPT - Dia Final'!$C$8:$C$221,'Main Event SPT - Dia Final'!$D$8:$D$221,$C12)</f>
        <v>1512</v>
      </c>
      <c r="N12" s="8">
        <f>SUMIFS('SECOND CHANCE'!$C$8:$C$86,'SECOND CHANCE'!$D$8:$D$86,$C12)</f>
        <v>0</v>
      </c>
      <c r="O12" s="8">
        <f>SUMIFS('HIGH ROLLER 50K'!$C$8:$C$38,'HIGH ROLLER 50K'!$D$8:$D$38,$C12)</f>
        <v>0</v>
      </c>
      <c r="P12" s="8">
        <f>SUMIFS('OMAHA DEALER´S CHOICE'!$C$8:$C$30,'OMAHA DEALER´S CHOICE'!$D$8:$D$30,$C12)</f>
        <v>328.5</v>
      </c>
    </row>
    <row r="13" spans="1:16">
      <c r="A13" s="4">
        <f t="shared" si="0"/>
        <v>9</v>
      </c>
      <c r="B13" s="5" t="s">
        <v>21</v>
      </c>
      <c r="C13" s="6" t="s">
        <v>22</v>
      </c>
      <c r="D13" s="7">
        <f t="shared" si="1"/>
        <v>2431</v>
      </c>
      <c r="E13" s="4">
        <f>COUNTIF('200K OMAHA 5 K.O'!$D$8:$D$37,$C13)+COUNTIF(HORSE!$D$8:$D$26,$C13)+COUNTIF('SUPER K.O'!$D$8:$D$41,$C13)+COUNTIF('8 GAME'!$D$8:$D$21,$C13)+COUNTIF('100K OMAHA MYSTERY BOUNTY'!$D$8:$D$32,$C13)+COUNTIF('CHAMPIONSHIP HIGH ROLLER 200K'!$D$8:$D$72,$C13)+COUNTIF('PLO-NLH DEALER´S CHOICE PIJAMA'!$D$8:$D$27,$C13)+COUNTIF('Main Event SPT - Dia Final'!$D$8:$D$221,$C13)+COUNTIF('SECOND CHANCE'!$D$8:$D$86,$C13)+COUNTIF('HIGH ROLLER 50K'!$D$8:$D$38,$C13)+COUNTIF('OMAHA DEALER´S CHOICE'!$D$8:$D$30,$C13)</f>
        <v>3</v>
      </c>
      <c r="F13" s="8">
        <f>SUMIFS('200K OMAHA 5 K.O'!$C$8:$C$37,'200K OMAHA 5 K.O'!$D$8:$D$37,$C13)</f>
        <v>720</v>
      </c>
      <c r="G13" s="8">
        <f>SUMIFS(HORSE!$C$8:$C$26,HORSE!$D$8:$D$26,$C13)</f>
        <v>0</v>
      </c>
      <c r="H13" s="8">
        <f>SUMIFS('SUPER K.O'!$C$8:$C$41,'SUPER K.O'!$D$8:$D$41,$C13)</f>
        <v>0</v>
      </c>
      <c r="I13" s="8">
        <f>SUMIFS('8 GAME'!$C$8:$C$21,'8 GAME'!$D$8:$D$21,$C13)</f>
        <v>0</v>
      </c>
      <c r="J13" s="8">
        <f>SUMIFS('100K OMAHA MYSTERY BOUNTY'!$C$8:$C$32,'100K OMAHA MYSTERY BOUNTY'!$D$8:$D$32,$C13)</f>
        <v>0</v>
      </c>
      <c r="K13" s="8">
        <f>SUMIFS('CHAMPIONSHIP HIGH ROLLER 200K'!$C$8:$C$72,'CHAMPIONSHIP HIGH ROLLER 200K'!$D$8:$D$72,$C13)</f>
        <v>10</v>
      </c>
      <c r="L13" s="8">
        <f>SUMIFS('PLO-NLH DEALER´S CHOICE PIJAMA'!$C$8:$C$27,'PLO-NLH DEALER´S CHOICE PIJAMA'!$D$8:$D$27,$C13)</f>
        <v>0</v>
      </c>
      <c r="M13" s="8">
        <f>SUMIFS('Main Event SPT - Dia Final'!$C$8:$C$221,'Main Event SPT - Dia Final'!$D$8:$D$221,$C13)</f>
        <v>1701</v>
      </c>
      <c r="N13" s="8">
        <f>SUMIFS('SECOND CHANCE'!$C$8:$C$86,'SECOND CHANCE'!$D$8:$D$86,$C13)</f>
        <v>0</v>
      </c>
      <c r="O13" s="8">
        <f>SUMIFS('HIGH ROLLER 50K'!$C$8:$C$38,'HIGH ROLLER 50K'!$D$8:$D$38,$C13)</f>
        <v>0</v>
      </c>
      <c r="P13" s="8">
        <f>SUMIFS('OMAHA DEALER´S CHOICE'!$C$8:$C$30,'OMAHA DEALER´S CHOICE'!$D$8:$D$30,$C13)</f>
        <v>0</v>
      </c>
    </row>
    <row r="14" spans="1:16">
      <c r="A14" s="4">
        <f t="shared" si="0"/>
        <v>10</v>
      </c>
      <c r="B14" s="5" t="s">
        <v>275</v>
      </c>
      <c r="C14" s="6" t="s">
        <v>276</v>
      </c>
      <c r="D14" s="7">
        <f t="shared" si="1"/>
        <v>2268</v>
      </c>
      <c r="E14" s="4">
        <f>COUNTIF('200K OMAHA 5 K.O'!$D$8:$D$37,$C14)+COUNTIF(HORSE!$D$8:$D$26,$C14)+COUNTIF('SUPER K.O'!$D$8:$D$41,$C14)+COUNTIF('8 GAME'!$D$8:$D$21,$C14)+COUNTIF('100K OMAHA MYSTERY BOUNTY'!$D$8:$D$32,$C14)+COUNTIF('CHAMPIONSHIP HIGH ROLLER 200K'!$D$8:$D$72,$C14)+COUNTIF('PLO-NLH DEALER´S CHOICE PIJAMA'!$D$8:$D$27,$C14)+COUNTIF('Main Event SPT - Dia Final'!$D$8:$D$221,$C14)+COUNTIF('SECOND CHANCE'!$D$8:$D$86,$C14)+COUNTIF('HIGH ROLLER 50K'!$D$8:$D$38,$C14)+COUNTIF('OMAHA DEALER´S CHOICE'!$D$8:$D$30,$C14)</f>
        <v>1</v>
      </c>
      <c r="F14" s="8">
        <f>SUMIFS('200K OMAHA 5 K.O'!$C$8:$C$37,'200K OMAHA 5 K.O'!$D$8:$D$37,$C14)</f>
        <v>0</v>
      </c>
      <c r="G14" s="8">
        <f>SUMIFS(HORSE!$C$8:$C$26,HORSE!$D$8:$D$26,$C14)</f>
        <v>0</v>
      </c>
      <c r="H14" s="8">
        <f>SUMIFS('SUPER K.O'!$C$8:$C$41,'SUPER K.O'!$D$8:$D$41,$C14)</f>
        <v>0</v>
      </c>
      <c r="I14" s="8">
        <f>SUMIFS('8 GAME'!$C$8:$C$21,'8 GAME'!$D$8:$D$21,$C14)</f>
        <v>0</v>
      </c>
      <c r="J14" s="8">
        <f>SUMIFS('100K OMAHA MYSTERY BOUNTY'!$C$8:$C$32,'100K OMAHA MYSTERY BOUNTY'!$D$8:$D$32,$C14)</f>
        <v>0</v>
      </c>
      <c r="K14" s="8">
        <f>SUMIFS('CHAMPIONSHIP HIGH ROLLER 200K'!$C$8:$C$72,'CHAMPIONSHIP HIGH ROLLER 200K'!$D$8:$D$72,$C14)</f>
        <v>0</v>
      </c>
      <c r="L14" s="8">
        <f>SUMIFS('PLO-NLH DEALER´S CHOICE PIJAMA'!$C$8:$C$27,'PLO-NLH DEALER´S CHOICE PIJAMA'!$D$8:$D$27,$C14)</f>
        <v>0</v>
      </c>
      <c r="M14" s="8">
        <f>SUMIFS('Main Event SPT - Dia Final'!$C$8:$C$221,'Main Event SPT - Dia Final'!$D$8:$D$221,$C14)</f>
        <v>2268</v>
      </c>
      <c r="N14" s="8">
        <f>SUMIFS('SECOND CHANCE'!$C$8:$C$86,'SECOND CHANCE'!$D$8:$D$86,$C14)</f>
        <v>0</v>
      </c>
      <c r="O14" s="8">
        <f>SUMIFS('HIGH ROLLER 50K'!$C$8:$C$38,'HIGH ROLLER 50K'!$D$8:$D$38,$C14)</f>
        <v>0</v>
      </c>
      <c r="P14" s="8">
        <f>SUMIFS('OMAHA DEALER´S CHOICE'!$C$8:$C$30,'OMAHA DEALER´S CHOICE'!$D$8:$D$30,$C14)</f>
        <v>0</v>
      </c>
    </row>
    <row r="15" spans="1:16">
      <c r="A15" s="4">
        <f t="shared" si="0"/>
        <v>11</v>
      </c>
      <c r="B15" s="5" t="s">
        <v>81</v>
      </c>
      <c r="C15" s="6" t="s">
        <v>82</v>
      </c>
      <c r="D15" s="7">
        <f t="shared" si="1"/>
        <v>2121.4</v>
      </c>
      <c r="E15" s="4">
        <f>COUNTIF('200K OMAHA 5 K.O'!$D$8:$D$37,$C15)+COUNTIF(HORSE!$D$8:$D$26,$C15)+COUNTIF('SUPER K.O'!$D$8:$D$41,$C15)+COUNTIF('8 GAME'!$D$8:$D$21,$C15)+COUNTIF('100K OMAHA MYSTERY BOUNTY'!$D$8:$D$32,$C15)+COUNTIF('CHAMPIONSHIP HIGH ROLLER 200K'!$D$8:$D$72,$C15)+COUNTIF('PLO-NLH DEALER´S CHOICE PIJAMA'!$D$8:$D$27,$C15)+COUNTIF('Main Event SPT - Dia Final'!$D$8:$D$221,$C15)+COUNTIF('SECOND CHANCE'!$D$8:$D$86,$C15)+COUNTIF('HIGH ROLLER 50K'!$D$8:$D$38,$C15)+COUNTIF('OMAHA DEALER´S CHOICE'!$D$8:$D$30,$C15)</f>
        <v>4</v>
      </c>
      <c r="F15" s="8">
        <f>SUMIFS('200K OMAHA 5 K.O'!$C$8:$C$37,'200K OMAHA 5 K.O'!$D$8:$D$37,$C15)</f>
        <v>0</v>
      </c>
      <c r="G15" s="8">
        <f>SUMIFS(HORSE!$C$8:$C$26,HORSE!$D$8:$D$26,$C15)</f>
        <v>552</v>
      </c>
      <c r="H15" s="8">
        <f>SUMIFS('SUPER K.O'!$C$8:$C$41,'SUPER K.O'!$D$8:$D$41,$C15)</f>
        <v>0</v>
      </c>
      <c r="I15" s="8">
        <f>SUMIFS('8 GAME'!$C$8:$C$21,'8 GAME'!$D$8:$D$21,$C15)</f>
        <v>614.4</v>
      </c>
      <c r="J15" s="8">
        <f>SUMIFS('100K OMAHA MYSTERY BOUNTY'!$C$8:$C$32,'100K OMAHA MYSTERY BOUNTY'!$D$8:$D$32,$C15)</f>
        <v>0</v>
      </c>
      <c r="K15" s="8">
        <f>SUMIFS('CHAMPIONSHIP HIGH ROLLER 200K'!$C$8:$C$72,'CHAMPIONSHIP HIGH ROLLER 200K'!$D$8:$D$72,$C15)</f>
        <v>0</v>
      </c>
      <c r="L15" s="8">
        <f>SUMIFS('PLO-NLH DEALER´S CHOICE PIJAMA'!$C$8:$C$27,'PLO-NLH DEALER´S CHOICE PIJAMA'!$D$8:$D$27,$C15)</f>
        <v>10</v>
      </c>
      <c r="M15" s="8">
        <f>SUMIFS('Main Event SPT - Dia Final'!$C$8:$C$221,'Main Event SPT - Dia Final'!$D$8:$D$221,$C15)</f>
        <v>945</v>
      </c>
      <c r="N15" s="8">
        <f>SUMIFS('SECOND CHANCE'!$C$8:$C$86,'SECOND CHANCE'!$D$8:$D$86,$C15)</f>
        <v>0</v>
      </c>
      <c r="O15" s="8">
        <f>SUMIFS('HIGH ROLLER 50K'!$C$8:$C$38,'HIGH ROLLER 50K'!$D$8:$D$38,$C15)</f>
        <v>0</v>
      </c>
      <c r="P15" s="8">
        <f>SUMIFS('OMAHA DEALER´S CHOICE'!$C$8:$C$30,'OMAHA DEALER´S CHOICE'!$D$8:$D$30,$C15)</f>
        <v>0</v>
      </c>
    </row>
    <row r="16" spans="1:16">
      <c r="A16" s="4">
        <f t="shared" si="0"/>
        <v>12</v>
      </c>
      <c r="B16" s="5" t="s">
        <v>186</v>
      </c>
      <c r="C16" s="6" t="s">
        <v>187</v>
      </c>
      <c r="D16" s="7">
        <f t="shared" si="1"/>
        <v>2032.5</v>
      </c>
      <c r="E16" s="4">
        <f>COUNTIF('200K OMAHA 5 K.O'!$D$8:$D$37,$C16)+COUNTIF(HORSE!$D$8:$D$26,$C16)+COUNTIF('SUPER K.O'!$D$8:$D$41,$C16)+COUNTIF('8 GAME'!$D$8:$D$21,$C16)+COUNTIF('100K OMAHA MYSTERY BOUNTY'!$D$8:$D$32,$C16)+COUNTIF('CHAMPIONSHIP HIGH ROLLER 200K'!$D$8:$D$72,$C16)+COUNTIF('PLO-NLH DEALER´S CHOICE PIJAMA'!$D$8:$D$27,$C16)+COUNTIF('Main Event SPT - Dia Final'!$D$8:$D$221,$C16)+COUNTIF('SECOND CHANCE'!$D$8:$D$86,$C16)+COUNTIF('HIGH ROLLER 50K'!$D$8:$D$38,$C16)+COUNTIF('OMAHA DEALER´S CHOICE'!$D$8:$D$30,$C16)</f>
        <v>3</v>
      </c>
      <c r="F16" s="8">
        <f>SUMIFS('200K OMAHA 5 K.O'!$C$8:$C$37,'200K OMAHA 5 K.O'!$D$8:$D$37,$C16)</f>
        <v>0</v>
      </c>
      <c r="G16" s="8">
        <f>SUMIFS(HORSE!$C$8:$C$26,HORSE!$D$8:$D$26,$C16)</f>
        <v>0</v>
      </c>
      <c r="H16" s="8">
        <f>SUMIFS('SUPER K.O'!$C$8:$C$41,'SUPER K.O'!$D$8:$D$41,$C16)</f>
        <v>0</v>
      </c>
      <c r="I16" s="8">
        <f>SUMIFS('8 GAME'!$C$8:$C$21,'8 GAME'!$D$8:$D$21,$C16)</f>
        <v>0</v>
      </c>
      <c r="J16" s="8">
        <f>SUMIFS('100K OMAHA MYSTERY BOUNTY'!$C$8:$C$32,'100K OMAHA MYSTERY BOUNTY'!$D$8:$D$32,$C16)</f>
        <v>0</v>
      </c>
      <c r="K16" s="8">
        <f>SUMIFS('CHAMPIONSHIP HIGH ROLLER 200K'!$C$8:$C$72,'CHAMPIONSHIP HIGH ROLLER 200K'!$D$8:$D$72,$C16)</f>
        <v>2012.5</v>
      </c>
      <c r="L16" s="8">
        <f>SUMIFS('PLO-NLH DEALER´S CHOICE PIJAMA'!$C$8:$C$27,'PLO-NLH DEALER´S CHOICE PIJAMA'!$D$8:$D$27,$C16)</f>
        <v>0</v>
      </c>
      <c r="M16" s="8">
        <f>SUMIFS('Main Event SPT - Dia Final'!$C$8:$C$221,'Main Event SPT - Dia Final'!$D$8:$D$221,$C16)</f>
        <v>10</v>
      </c>
      <c r="N16" s="8">
        <f>SUMIFS('SECOND CHANCE'!$C$8:$C$86,'SECOND CHANCE'!$D$8:$D$86,$C16)</f>
        <v>0</v>
      </c>
      <c r="O16" s="8">
        <f>SUMIFS('HIGH ROLLER 50K'!$C$8:$C$38,'HIGH ROLLER 50K'!$D$8:$D$38,$C16)</f>
        <v>10</v>
      </c>
      <c r="P16" s="8">
        <f>SUMIFS('OMAHA DEALER´S CHOICE'!$C$8:$C$30,'OMAHA DEALER´S CHOICE'!$D$8:$D$30,$C16)</f>
        <v>0</v>
      </c>
    </row>
    <row r="17" spans="1:16">
      <c r="A17" s="4">
        <f t="shared" si="0"/>
        <v>13</v>
      </c>
      <c r="B17" s="5" t="s">
        <v>194</v>
      </c>
      <c r="C17" s="6" t="s">
        <v>195</v>
      </c>
      <c r="D17" s="7">
        <f t="shared" si="1"/>
        <v>1951.25</v>
      </c>
      <c r="E17" s="4">
        <f>COUNTIF('200K OMAHA 5 K.O'!$D$8:$D$37,$C17)+COUNTIF(HORSE!$D$8:$D$26,$C17)+COUNTIF('SUPER K.O'!$D$8:$D$41,$C17)+COUNTIF('8 GAME'!$D$8:$D$21,$C17)+COUNTIF('100K OMAHA MYSTERY BOUNTY'!$D$8:$D$32,$C17)+COUNTIF('CHAMPIONSHIP HIGH ROLLER 200K'!$D$8:$D$72,$C17)+COUNTIF('PLO-NLH DEALER´S CHOICE PIJAMA'!$D$8:$D$27,$C17)+COUNTIF('Main Event SPT - Dia Final'!$D$8:$D$221,$C17)+COUNTIF('SECOND CHANCE'!$D$8:$D$86,$C17)+COUNTIF('HIGH ROLLER 50K'!$D$8:$D$38,$C17)+COUNTIF('OMAHA DEALER´S CHOICE'!$D$8:$D$30,$C17)</f>
        <v>2</v>
      </c>
      <c r="F17" s="8">
        <f>SUMIFS('200K OMAHA 5 K.O'!$C$8:$C$37,'200K OMAHA 5 K.O'!$D$8:$D$37,$C17)</f>
        <v>0</v>
      </c>
      <c r="G17" s="8">
        <f>SUMIFS(HORSE!$C$8:$C$26,HORSE!$D$8:$D$26,$C17)</f>
        <v>0</v>
      </c>
      <c r="H17" s="8">
        <f>SUMIFS('SUPER K.O'!$C$8:$C$41,'SUPER K.O'!$D$8:$D$41,$C17)</f>
        <v>0</v>
      </c>
      <c r="I17" s="8">
        <f>SUMIFS('8 GAME'!$C$8:$C$21,'8 GAME'!$D$8:$D$21,$C17)</f>
        <v>0</v>
      </c>
      <c r="J17" s="8">
        <f>SUMIFS('100K OMAHA MYSTERY BOUNTY'!$C$8:$C$32,'100K OMAHA MYSTERY BOUNTY'!$D$8:$D$32,$C17)</f>
        <v>0</v>
      </c>
      <c r="K17" s="8">
        <f>SUMIFS('CHAMPIONSHIP HIGH ROLLER 200K'!$C$8:$C$72,'CHAMPIONSHIP HIGH ROLLER 200K'!$D$8:$D$72,$C17)</f>
        <v>1006.25</v>
      </c>
      <c r="L17" s="8">
        <f>SUMIFS('PLO-NLH DEALER´S CHOICE PIJAMA'!$C$8:$C$27,'PLO-NLH DEALER´S CHOICE PIJAMA'!$D$8:$D$27,$C17)</f>
        <v>0</v>
      </c>
      <c r="M17" s="8">
        <f>SUMIFS('Main Event SPT - Dia Final'!$C$8:$C$221,'Main Event SPT - Dia Final'!$D$8:$D$221,$C17)</f>
        <v>945</v>
      </c>
      <c r="N17" s="8">
        <f>SUMIFS('SECOND CHANCE'!$C$8:$C$86,'SECOND CHANCE'!$D$8:$D$86,$C17)</f>
        <v>0</v>
      </c>
      <c r="O17" s="8">
        <f>SUMIFS('HIGH ROLLER 50K'!$C$8:$C$38,'HIGH ROLLER 50K'!$D$8:$D$38,$C17)</f>
        <v>0</v>
      </c>
      <c r="P17" s="8">
        <f>SUMIFS('OMAHA DEALER´S CHOICE'!$C$8:$C$30,'OMAHA DEALER´S CHOICE'!$D$8:$D$30,$C17)</f>
        <v>0</v>
      </c>
    </row>
    <row r="18" spans="1:16">
      <c r="A18" s="4">
        <f t="shared" si="0"/>
        <v>14</v>
      </c>
      <c r="B18" s="5" t="s">
        <v>188</v>
      </c>
      <c r="C18" s="6" t="s">
        <v>189</v>
      </c>
      <c r="D18" s="7">
        <f t="shared" si="1"/>
        <v>1745</v>
      </c>
      <c r="E18" s="4">
        <f>COUNTIF('200K OMAHA 5 K.O'!$D$8:$D$37,$C18)+COUNTIF(HORSE!$D$8:$D$26,$C18)+COUNTIF('SUPER K.O'!$D$8:$D$41,$C18)+COUNTIF('8 GAME'!$D$8:$D$21,$C18)+COUNTIF('100K OMAHA MYSTERY BOUNTY'!$D$8:$D$32,$C18)+COUNTIF('CHAMPIONSHIP HIGH ROLLER 200K'!$D$8:$D$72,$C18)+COUNTIF('PLO-NLH DEALER´S CHOICE PIJAMA'!$D$8:$D$27,$C18)+COUNTIF('Main Event SPT - Dia Final'!$D$8:$D$221,$C18)+COUNTIF('SECOND CHANCE'!$D$8:$D$86,$C18)+COUNTIF('HIGH ROLLER 50K'!$D$8:$D$38,$C18)+COUNTIF('OMAHA DEALER´S CHOICE'!$D$8:$D$30,$C18)</f>
        <v>3</v>
      </c>
      <c r="F18" s="8">
        <f>SUMIFS('200K OMAHA 5 K.O'!$C$8:$C$37,'200K OMAHA 5 K.O'!$D$8:$D$37,$C18)</f>
        <v>0</v>
      </c>
      <c r="G18" s="8">
        <f>SUMIFS(HORSE!$C$8:$C$26,HORSE!$D$8:$D$26,$C18)</f>
        <v>0</v>
      </c>
      <c r="H18" s="8">
        <f>SUMIFS('SUPER K.O'!$C$8:$C$41,'SUPER K.O'!$D$8:$D$41,$C18)</f>
        <v>0</v>
      </c>
      <c r="I18" s="8">
        <f>SUMIFS('8 GAME'!$C$8:$C$21,'8 GAME'!$D$8:$D$21,$C18)</f>
        <v>0</v>
      </c>
      <c r="J18" s="8">
        <f>SUMIFS('100K OMAHA MYSTERY BOUNTY'!$C$8:$C$32,'100K OMAHA MYSTERY BOUNTY'!$D$8:$D$32,$C18)</f>
        <v>0</v>
      </c>
      <c r="K18" s="8">
        <f>SUMIFS('CHAMPIONSHIP HIGH ROLLER 200K'!$C$8:$C$72,'CHAMPIONSHIP HIGH ROLLER 200K'!$D$8:$D$72,$C18)</f>
        <v>1725</v>
      </c>
      <c r="L18" s="8">
        <f>SUMIFS('PLO-NLH DEALER´S CHOICE PIJAMA'!$C$8:$C$27,'PLO-NLH DEALER´S CHOICE PIJAMA'!$D$8:$D$27,$C18)</f>
        <v>0</v>
      </c>
      <c r="M18" s="8">
        <f>SUMIFS('Main Event SPT - Dia Final'!$C$8:$C$221,'Main Event SPT - Dia Final'!$D$8:$D$221,$C18)</f>
        <v>10</v>
      </c>
      <c r="N18" s="8">
        <f>SUMIFS('SECOND CHANCE'!$C$8:$C$86,'SECOND CHANCE'!$D$8:$D$86,$C18)</f>
        <v>0</v>
      </c>
      <c r="O18" s="8">
        <f>SUMIFS('HIGH ROLLER 50K'!$C$8:$C$38,'HIGH ROLLER 50K'!$D$8:$D$38,$C18)</f>
        <v>10</v>
      </c>
      <c r="P18" s="8">
        <f>SUMIFS('OMAHA DEALER´S CHOICE'!$C$8:$C$30,'OMAHA DEALER´S CHOICE'!$D$8:$D$30,$C18)</f>
        <v>0</v>
      </c>
    </row>
    <row r="19" spans="1:16">
      <c r="A19" s="4">
        <f t="shared" si="0"/>
        <v>15</v>
      </c>
      <c r="B19" s="5" t="s">
        <v>19</v>
      </c>
      <c r="C19" s="6" t="s">
        <v>20</v>
      </c>
      <c r="D19" s="7">
        <f t="shared" si="1"/>
        <v>1673</v>
      </c>
      <c r="E19" s="4">
        <f>COUNTIF('200K OMAHA 5 K.O'!$D$8:$D$37,$C19)+COUNTIF(HORSE!$D$8:$D$26,$C19)+COUNTIF('SUPER K.O'!$D$8:$D$41,$C19)+COUNTIF('8 GAME'!$D$8:$D$21,$C19)+COUNTIF('100K OMAHA MYSTERY BOUNTY'!$D$8:$D$32,$C19)+COUNTIF('CHAMPIONSHIP HIGH ROLLER 200K'!$D$8:$D$72,$C19)+COUNTIF('PLO-NLH DEALER´S CHOICE PIJAMA'!$D$8:$D$27,$C19)+COUNTIF('Main Event SPT - Dia Final'!$D$8:$D$221,$C19)+COUNTIF('SECOND CHANCE'!$D$8:$D$86,$C19)+COUNTIF('HIGH ROLLER 50K'!$D$8:$D$38,$C19)+COUNTIF('OMAHA DEALER´S CHOICE'!$D$8:$D$30,$C19)</f>
        <v>8</v>
      </c>
      <c r="F19" s="8">
        <f>SUMIFS('200K OMAHA 5 K.O'!$C$8:$C$37,'200K OMAHA 5 K.O'!$D$8:$D$37,$C19)</f>
        <v>840</v>
      </c>
      <c r="G19" s="8">
        <f>SUMIFS(HORSE!$C$8:$C$26,HORSE!$D$8:$D$26,$C19)</f>
        <v>0</v>
      </c>
      <c r="H19" s="8">
        <f>SUMIFS('SUPER K.O'!$C$8:$C$41,'SUPER K.O'!$D$8:$D$41,$C19)</f>
        <v>10</v>
      </c>
      <c r="I19" s="8">
        <f>SUMIFS('8 GAME'!$C$8:$C$21,'8 GAME'!$D$8:$D$21,$C19)</f>
        <v>0</v>
      </c>
      <c r="J19" s="8">
        <f>SUMIFS('100K OMAHA MYSTERY BOUNTY'!$C$8:$C$32,'100K OMAHA MYSTERY BOUNTY'!$D$8:$D$32,$C19)</f>
        <v>405</v>
      </c>
      <c r="K19" s="8">
        <f>SUMIFS('CHAMPIONSHIP HIGH ROLLER 200K'!$C$8:$C$72,'CHAMPIONSHIP HIGH ROLLER 200K'!$D$8:$D$72,$C19)</f>
        <v>10</v>
      </c>
      <c r="L19" s="8">
        <f>SUMIFS('PLO-NLH DEALER´S CHOICE PIJAMA'!$C$8:$C$27,'PLO-NLH DEALER´S CHOICE PIJAMA'!$D$8:$D$27,$C19)</f>
        <v>0</v>
      </c>
      <c r="M19" s="8">
        <f>SUMIFS('Main Event SPT - Dia Final'!$C$8:$C$221,'Main Event SPT - Dia Final'!$D$8:$D$221,$C19)</f>
        <v>378</v>
      </c>
      <c r="N19" s="8">
        <f>SUMIFS('SECOND CHANCE'!$C$8:$C$86,'SECOND CHANCE'!$D$8:$D$86,$C19)</f>
        <v>10</v>
      </c>
      <c r="O19" s="8">
        <f>SUMIFS('HIGH ROLLER 50K'!$C$8:$C$38,'HIGH ROLLER 50K'!$D$8:$D$38,$C19)</f>
        <v>10</v>
      </c>
      <c r="P19" s="8">
        <f>SUMIFS('OMAHA DEALER´S CHOICE'!$C$8:$C$30,'OMAHA DEALER´S CHOICE'!$D$8:$D$30,$C19)</f>
        <v>10</v>
      </c>
    </row>
    <row r="20" spans="1:16">
      <c r="A20" s="4">
        <f t="shared" si="0"/>
        <v>16</v>
      </c>
      <c r="B20" s="5" t="s">
        <v>192</v>
      </c>
      <c r="C20" s="6" t="s">
        <v>193</v>
      </c>
      <c r="D20" s="7">
        <f t="shared" si="1"/>
        <v>1561.75</v>
      </c>
      <c r="E20" s="4">
        <f>COUNTIF('200K OMAHA 5 K.O'!$D$8:$D$37,$C20)+COUNTIF(HORSE!$D$8:$D$26,$C20)+COUNTIF('SUPER K.O'!$D$8:$D$41,$C20)+COUNTIF('8 GAME'!$D$8:$D$21,$C20)+COUNTIF('100K OMAHA MYSTERY BOUNTY'!$D$8:$D$32,$C20)+COUNTIF('CHAMPIONSHIP HIGH ROLLER 200K'!$D$8:$D$72,$C20)+COUNTIF('PLO-NLH DEALER´S CHOICE PIJAMA'!$D$8:$D$27,$C20)+COUNTIF('Main Event SPT - Dia Final'!$D$8:$D$221,$C20)+COUNTIF('SECOND CHANCE'!$D$8:$D$86,$C20)+COUNTIF('HIGH ROLLER 50K'!$D$8:$D$38,$C20)+COUNTIF('OMAHA DEALER´S CHOICE'!$D$8:$D$30,$C20)</f>
        <v>3</v>
      </c>
      <c r="F20" s="8">
        <f>SUMIFS('200K OMAHA 5 K.O'!$C$8:$C$37,'200K OMAHA 5 K.O'!$D$8:$D$37,$C20)</f>
        <v>0</v>
      </c>
      <c r="G20" s="8">
        <f>SUMIFS(HORSE!$C$8:$C$26,HORSE!$D$8:$D$26,$C20)</f>
        <v>0</v>
      </c>
      <c r="H20" s="8">
        <f>SUMIFS('SUPER K.O'!$C$8:$C$41,'SUPER K.O'!$D$8:$D$41,$C20)</f>
        <v>0</v>
      </c>
      <c r="I20" s="8">
        <f>SUMIFS('8 GAME'!$C$8:$C$21,'8 GAME'!$D$8:$D$21,$C20)</f>
        <v>0</v>
      </c>
      <c r="J20" s="8">
        <f>SUMIFS('100K OMAHA MYSTERY BOUNTY'!$C$8:$C$32,'100K OMAHA MYSTERY BOUNTY'!$D$8:$D$32,$C20)</f>
        <v>0</v>
      </c>
      <c r="K20" s="8">
        <f>SUMIFS('CHAMPIONSHIP HIGH ROLLER 200K'!$C$8:$C$72,'CHAMPIONSHIP HIGH ROLLER 200K'!$D$8:$D$72,$C20)</f>
        <v>1293.75</v>
      </c>
      <c r="L20" s="8">
        <f>SUMIFS('PLO-NLH DEALER´S CHOICE PIJAMA'!$C$8:$C$27,'PLO-NLH DEALER´S CHOICE PIJAMA'!$D$8:$D$27,$C20)</f>
        <v>0</v>
      </c>
      <c r="M20" s="8">
        <f>SUMIFS('Main Event SPT - Dia Final'!$C$8:$C$221,'Main Event SPT - Dia Final'!$D$8:$D$221,$C20)</f>
        <v>10</v>
      </c>
      <c r="N20" s="8">
        <f>SUMIFS('SECOND CHANCE'!$C$8:$C$86,'SECOND CHANCE'!$D$8:$D$86,$C20)</f>
        <v>258</v>
      </c>
      <c r="O20" s="8">
        <f>SUMIFS('HIGH ROLLER 50K'!$C$8:$C$38,'HIGH ROLLER 50K'!$D$8:$D$38,$C20)</f>
        <v>0</v>
      </c>
      <c r="P20" s="8">
        <f>SUMIFS('OMAHA DEALER´S CHOICE'!$C$8:$C$30,'OMAHA DEALER´S CHOICE'!$D$8:$D$30,$C20)</f>
        <v>0</v>
      </c>
    </row>
    <row r="21" spans="1:16">
      <c r="A21" s="4">
        <f t="shared" si="0"/>
        <v>17</v>
      </c>
      <c r="B21" s="5" t="s">
        <v>130</v>
      </c>
      <c r="C21" s="6" t="s">
        <v>131</v>
      </c>
      <c r="D21" s="7">
        <f t="shared" si="1"/>
        <v>1538</v>
      </c>
      <c r="E21" s="4">
        <f>COUNTIF('200K OMAHA 5 K.O'!$D$8:$D$37,$C21)+COUNTIF(HORSE!$D$8:$D$26,$C21)+COUNTIF('SUPER K.O'!$D$8:$D$41,$C21)+COUNTIF('8 GAME'!$D$8:$D$21,$C21)+COUNTIF('100K OMAHA MYSTERY BOUNTY'!$D$8:$D$32,$C21)+COUNTIF('CHAMPIONSHIP HIGH ROLLER 200K'!$D$8:$D$72,$C21)+COUNTIF('PLO-NLH DEALER´S CHOICE PIJAMA'!$D$8:$D$27,$C21)+COUNTIF('Main Event SPT - Dia Final'!$D$8:$D$221,$C21)+COUNTIF('SECOND CHANCE'!$D$8:$D$86,$C21)+COUNTIF('HIGH ROLLER 50K'!$D$8:$D$38,$C21)+COUNTIF('OMAHA DEALER´S CHOICE'!$D$8:$D$30,$C21)</f>
        <v>3</v>
      </c>
      <c r="F21" s="8">
        <f>SUMIFS('200K OMAHA 5 K.O'!$C$8:$C$37,'200K OMAHA 5 K.O'!$D$8:$D$37,$C21)</f>
        <v>0</v>
      </c>
      <c r="G21" s="8">
        <f>SUMIFS(HORSE!$C$8:$C$26,HORSE!$D$8:$D$26,$C21)</f>
        <v>0</v>
      </c>
      <c r="H21" s="8">
        <f>SUMIFS('SUPER K.O'!$C$8:$C$41,'SUPER K.O'!$D$8:$D$41,$C21)</f>
        <v>10</v>
      </c>
      <c r="I21" s="8">
        <f>SUMIFS('8 GAME'!$C$8:$C$21,'8 GAME'!$D$8:$D$21,$C21)</f>
        <v>0</v>
      </c>
      <c r="J21" s="8">
        <f>SUMIFS('100K OMAHA MYSTERY BOUNTY'!$C$8:$C$32,'100K OMAHA MYSTERY BOUNTY'!$D$8:$D$32,$C21)</f>
        <v>0</v>
      </c>
      <c r="K21" s="8">
        <f>SUMIFS('CHAMPIONSHIP HIGH ROLLER 200K'!$C$8:$C$72,'CHAMPIONSHIP HIGH ROLLER 200K'!$D$8:$D$72,$C21)</f>
        <v>1150</v>
      </c>
      <c r="L21" s="8">
        <f>SUMIFS('PLO-NLH DEALER´S CHOICE PIJAMA'!$C$8:$C$27,'PLO-NLH DEALER´S CHOICE PIJAMA'!$D$8:$D$27,$C21)</f>
        <v>0</v>
      </c>
      <c r="M21" s="8">
        <f>SUMIFS('Main Event SPT - Dia Final'!$C$8:$C$221,'Main Event SPT - Dia Final'!$D$8:$D$221,$C21)</f>
        <v>378</v>
      </c>
      <c r="N21" s="8">
        <f>SUMIFS('SECOND CHANCE'!$C$8:$C$86,'SECOND CHANCE'!$D$8:$D$86,$C21)</f>
        <v>0</v>
      </c>
      <c r="O21" s="8">
        <f>SUMIFS('HIGH ROLLER 50K'!$C$8:$C$38,'HIGH ROLLER 50K'!$D$8:$D$38,$C21)</f>
        <v>0</v>
      </c>
      <c r="P21" s="8">
        <f>SUMIFS('OMAHA DEALER´S CHOICE'!$C$8:$C$30,'OMAHA DEALER´S CHOICE'!$D$8:$D$30,$C21)</f>
        <v>0</v>
      </c>
    </row>
    <row r="22" spans="1:16">
      <c r="A22" s="4">
        <f t="shared" si="0"/>
        <v>18</v>
      </c>
      <c r="B22" s="5" t="s">
        <v>83</v>
      </c>
      <c r="C22" s="6" t="s">
        <v>84</v>
      </c>
      <c r="D22" s="7">
        <f t="shared" si="1"/>
        <v>1488.5</v>
      </c>
      <c r="E22" s="4">
        <f>COUNTIF('200K OMAHA 5 K.O'!$D$8:$D$37,$C22)+COUNTIF(HORSE!$D$8:$D$26,$C22)+COUNTIF('SUPER K.O'!$D$8:$D$41,$C22)+COUNTIF('8 GAME'!$D$8:$D$21,$C22)+COUNTIF('100K OMAHA MYSTERY BOUNTY'!$D$8:$D$32,$C22)+COUNTIF('CHAMPIONSHIP HIGH ROLLER 200K'!$D$8:$D$72,$C22)+COUNTIF('PLO-NLH DEALER´S CHOICE PIJAMA'!$D$8:$D$27,$C22)+COUNTIF('Main Event SPT - Dia Final'!$D$8:$D$221,$C22)+COUNTIF('SECOND CHANCE'!$D$8:$D$86,$C22)+COUNTIF('HIGH ROLLER 50K'!$D$8:$D$38,$C22)+COUNTIF('OMAHA DEALER´S CHOICE'!$D$8:$D$30,$C22)</f>
        <v>5</v>
      </c>
      <c r="F22" s="8">
        <f>SUMIFS('200K OMAHA 5 K.O'!$C$8:$C$37,'200K OMAHA 5 K.O'!$D$8:$D$37,$C22)</f>
        <v>0</v>
      </c>
      <c r="G22" s="8">
        <f>SUMIFS(HORSE!$C$8:$C$26,HORSE!$D$8:$D$26,$C22)</f>
        <v>483</v>
      </c>
      <c r="H22" s="8">
        <f>SUMIFS('SUPER K.O'!$C$8:$C$41,'SUPER K.O'!$D$8:$D$41,$C22)</f>
        <v>0</v>
      </c>
      <c r="I22" s="8">
        <f>SUMIFS('8 GAME'!$C$8:$C$21,'8 GAME'!$D$8:$D$21,$C22)</f>
        <v>10</v>
      </c>
      <c r="J22" s="8">
        <f>SUMIFS('100K OMAHA MYSTERY BOUNTY'!$C$8:$C$32,'100K OMAHA MYSTERY BOUNTY'!$D$8:$D$32,$C22)</f>
        <v>0</v>
      </c>
      <c r="K22" s="8">
        <f>SUMIFS('CHAMPIONSHIP HIGH ROLLER 200K'!$C$8:$C$72,'CHAMPIONSHIP HIGH ROLLER 200K'!$D$8:$D$72,$C22)</f>
        <v>10</v>
      </c>
      <c r="L22" s="8">
        <f>SUMIFS('PLO-NLH DEALER´S CHOICE PIJAMA'!$C$8:$C$27,'PLO-NLH DEALER´S CHOICE PIJAMA'!$D$8:$D$27,$C22)</f>
        <v>0</v>
      </c>
      <c r="M22" s="8">
        <f>SUMIFS('Main Event SPT - Dia Final'!$C$8:$C$221,'Main Event SPT - Dia Final'!$D$8:$D$221,$C22)</f>
        <v>378</v>
      </c>
      <c r="N22" s="8">
        <f>SUMIFS('SECOND CHANCE'!$C$8:$C$86,'SECOND CHANCE'!$D$8:$D$86,$C22)</f>
        <v>0</v>
      </c>
      <c r="O22" s="8">
        <f>SUMIFS('HIGH ROLLER 50K'!$C$8:$C$38,'HIGH ROLLER 50K'!$D$8:$D$38,$C22)</f>
        <v>607.5</v>
      </c>
      <c r="P22" s="8">
        <f>SUMIFS('OMAHA DEALER´S CHOICE'!$C$8:$C$30,'OMAHA DEALER´S CHOICE'!$D$8:$D$30,$C22)</f>
        <v>0</v>
      </c>
    </row>
    <row r="23" spans="1:16">
      <c r="A23" s="4">
        <f t="shared" si="0"/>
        <v>19</v>
      </c>
      <c r="B23" s="5" t="s">
        <v>190</v>
      </c>
      <c r="C23" s="6" t="s">
        <v>191</v>
      </c>
      <c r="D23" s="7">
        <f t="shared" si="1"/>
        <v>1447.5</v>
      </c>
      <c r="E23" s="4">
        <f>COUNTIF('200K OMAHA 5 K.O'!$D$8:$D$37,$C23)+COUNTIF(HORSE!$D$8:$D$26,$C23)+COUNTIF('SUPER K.O'!$D$8:$D$41,$C23)+COUNTIF('8 GAME'!$D$8:$D$21,$C23)+COUNTIF('100K OMAHA MYSTERY BOUNTY'!$D$8:$D$32,$C23)+COUNTIF('CHAMPIONSHIP HIGH ROLLER 200K'!$D$8:$D$72,$C23)+COUNTIF('PLO-NLH DEALER´S CHOICE PIJAMA'!$D$8:$D$27,$C23)+COUNTIF('Main Event SPT - Dia Final'!$D$8:$D$221,$C23)+COUNTIF('SECOND CHANCE'!$D$8:$D$86,$C23)+COUNTIF('HIGH ROLLER 50K'!$D$8:$D$38,$C23)+COUNTIF('OMAHA DEALER´S CHOICE'!$D$8:$D$30,$C23)</f>
        <v>2</v>
      </c>
      <c r="F23" s="8">
        <f>SUMIFS('200K OMAHA 5 K.O'!$C$8:$C$37,'200K OMAHA 5 K.O'!$D$8:$D$37,$C23)</f>
        <v>0</v>
      </c>
      <c r="G23" s="8">
        <f>SUMIFS(HORSE!$C$8:$C$26,HORSE!$D$8:$D$26,$C23)</f>
        <v>0</v>
      </c>
      <c r="H23" s="8">
        <f>SUMIFS('SUPER K.O'!$C$8:$C$41,'SUPER K.O'!$D$8:$D$41,$C23)</f>
        <v>0</v>
      </c>
      <c r="I23" s="8">
        <f>SUMIFS('8 GAME'!$C$8:$C$21,'8 GAME'!$D$8:$D$21,$C23)</f>
        <v>0</v>
      </c>
      <c r="J23" s="8">
        <f>SUMIFS('100K OMAHA MYSTERY BOUNTY'!$C$8:$C$32,'100K OMAHA MYSTERY BOUNTY'!$D$8:$D$32,$C23)</f>
        <v>0</v>
      </c>
      <c r="K23" s="8">
        <f>SUMIFS('CHAMPIONSHIP HIGH ROLLER 200K'!$C$8:$C$72,'CHAMPIONSHIP HIGH ROLLER 200K'!$D$8:$D$72,$C23)</f>
        <v>1437.5</v>
      </c>
      <c r="L23" s="8">
        <f>SUMIFS('PLO-NLH DEALER´S CHOICE PIJAMA'!$C$8:$C$27,'PLO-NLH DEALER´S CHOICE PIJAMA'!$D$8:$D$27,$C23)</f>
        <v>0</v>
      </c>
      <c r="M23" s="8">
        <f>SUMIFS('Main Event SPT - Dia Final'!$C$8:$C$221,'Main Event SPT - Dia Final'!$D$8:$D$221,$C23)</f>
        <v>10</v>
      </c>
      <c r="N23" s="8">
        <f>SUMIFS('SECOND CHANCE'!$C$8:$C$86,'SECOND CHANCE'!$D$8:$D$86,$C23)</f>
        <v>0</v>
      </c>
      <c r="O23" s="8">
        <f>SUMIFS('HIGH ROLLER 50K'!$C$8:$C$38,'HIGH ROLLER 50K'!$D$8:$D$38,$C23)</f>
        <v>0</v>
      </c>
      <c r="P23" s="8">
        <f>SUMIFS('OMAHA DEALER´S CHOICE'!$C$8:$C$30,'OMAHA DEALER´S CHOICE'!$D$8:$D$30,$C23)</f>
        <v>0</v>
      </c>
    </row>
    <row r="24" spans="1:16">
      <c r="A24" s="4">
        <f t="shared" si="0"/>
        <v>20</v>
      </c>
      <c r="B24" s="5" t="s">
        <v>277</v>
      </c>
      <c r="C24" s="6" t="s">
        <v>278</v>
      </c>
      <c r="D24" s="7">
        <f t="shared" si="1"/>
        <v>1323</v>
      </c>
      <c r="E24" s="4">
        <f>COUNTIF('200K OMAHA 5 K.O'!$D$8:$D$37,$C24)+COUNTIF(HORSE!$D$8:$D$26,$C24)+COUNTIF('SUPER K.O'!$D$8:$D$41,$C24)+COUNTIF('8 GAME'!$D$8:$D$21,$C24)+COUNTIF('100K OMAHA MYSTERY BOUNTY'!$D$8:$D$32,$C24)+COUNTIF('CHAMPIONSHIP HIGH ROLLER 200K'!$D$8:$D$72,$C24)+COUNTIF('PLO-NLH DEALER´S CHOICE PIJAMA'!$D$8:$D$27,$C24)+COUNTIF('Main Event SPT - Dia Final'!$D$8:$D$221,$C24)+COUNTIF('SECOND CHANCE'!$D$8:$D$86,$C24)+COUNTIF('HIGH ROLLER 50K'!$D$8:$D$38,$C24)+COUNTIF('OMAHA DEALER´S CHOICE'!$D$8:$D$30,$C24)</f>
        <v>1</v>
      </c>
      <c r="F24" s="8">
        <f>SUMIFS('200K OMAHA 5 K.O'!$C$8:$C$37,'200K OMAHA 5 K.O'!$D$8:$D$37,$C24)</f>
        <v>0</v>
      </c>
      <c r="G24" s="8">
        <f>SUMIFS(HORSE!$C$8:$C$26,HORSE!$D$8:$D$26,$C24)</f>
        <v>0</v>
      </c>
      <c r="H24" s="8">
        <f>SUMIFS('SUPER K.O'!$C$8:$C$41,'SUPER K.O'!$D$8:$D$41,$C24)</f>
        <v>0</v>
      </c>
      <c r="I24" s="8">
        <f>SUMIFS('8 GAME'!$C$8:$C$21,'8 GAME'!$D$8:$D$21,$C24)</f>
        <v>0</v>
      </c>
      <c r="J24" s="8">
        <f>SUMIFS('100K OMAHA MYSTERY BOUNTY'!$C$8:$C$32,'100K OMAHA MYSTERY BOUNTY'!$D$8:$D$32,$C24)</f>
        <v>0</v>
      </c>
      <c r="K24" s="8">
        <f>SUMIFS('CHAMPIONSHIP HIGH ROLLER 200K'!$C$8:$C$72,'CHAMPIONSHIP HIGH ROLLER 200K'!$D$8:$D$72,$C24)</f>
        <v>0</v>
      </c>
      <c r="L24" s="8">
        <f>SUMIFS('PLO-NLH DEALER´S CHOICE PIJAMA'!$C$8:$C$27,'PLO-NLH DEALER´S CHOICE PIJAMA'!$D$8:$D$27,$C24)</f>
        <v>0</v>
      </c>
      <c r="M24" s="8">
        <f>SUMIFS('Main Event SPT - Dia Final'!$C$8:$C$221,'Main Event SPT - Dia Final'!$D$8:$D$221,$C24)</f>
        <v>1323</v>
      </c>
      <c r="N24" s="8">
        <f>SUMIFS('SECOND CHANCE'!$C$8:$C$86,'SECOND CHANCE'!$D$8:$D$86,$C24)</f>
        <v>0</v>
      </c>
      <c r="O24" s="8">
        <f>SUMIFS('HIGH ROLLER 50K'!$C$8:$C$38,'HIGH ROLLER 50K'!$D$8:$D$38,$C24)</f>
        <v>0</v>
      </c>
      <c r="P24" s="8">
        <f>SUMIFS('OMAHA DEALER´S CHOICE'!$C$8:$C$30,'OMAHA DEALER´S CHOICE'!$D$8:$D$30,$C24)</f>
        <v>0</v>
      </c>
    </row>
    <row r="25" spans="1:16">
      <c r="A25" s="4">
        <f t="shared" si="0"/>
        <v>21</v>
      </c>
      <c r="B25" s="5" t="s">
        <v>491</v>
      </c>
      <c r="C25" s="6" t="s">
        <v>492</v>
      </c>
      <c r="D25" s="7">
        <f t="shared" si="1"/>
        <v>1290</v>
      </c>
      <c r="E25" s="4">
        <f>COUNTIF('200K OMAHA 5 K.O'!$D$8:$D$37,$C25)+COUNTIF(HORSE!$D$8:$D$26,$C25)+COUNTIF('SUPER K.O'!$D$8:$D$41,$C25)+COUNTIF('8 GAME'!$D$8:$D$21,$C25)+COUNTIF('100K OMAHA MYSTERY BOUNTY'!$D$8:$D$32,$C25)+COUNTIF('CHAMPIONSHIP HIGH ROLLER 200K'!$D$8:$D$72,$C25)+COUNTIF('PLO-NLH DEALER´S CHOICE PIJAMA'!$D$8:$D$27,$C25)+COUNTIF('Main Event SPT - Dia Final'!$D$8:$D$221,$C25)+COUNTIF('SECOND CHANCE'!$D$8:$D$86,$C25)+COUNTIF('HIGH ROLLER 50K'!$D$8:$D$38,$C25)+COUNTIF('OMAHA DEALER´S CHOICE'!$D$8:$D$30,$C25)</f>
        <v>1</v>
      </c>
      <c r="F25" s="8">
        <f>SUMIFS('200K OMAHA 5 K.O'!$C$8:$C$37,'200K OMAHA 5 K.O'!$D$8:$D$37,$C25)</f>
        <v>0</v>
      </c>
      <c r="G25" s="8">
        <f>SUMIFS(HORSE!$C$8:$C$26,HORSE!$D$8:$D$26,$C25)</f>
        <v>0</v>
      </c>
      <c r="H25" s="8">
        <f>SUMIFS('SUPER K.O'!$C$8:$C$41,'SUPER K.O'!$D$8:$D$41,$C25)</f>
        <v>0</v>
      </c>
      <c r="I25" s="8">
        <f>SUMIFS('8 GAME'!$C$8:$C$21,'8 GAME'!$D$8:$D$21,$C25)</f>
        <v>0</v>
      </c>
      <c r="J25" s="8">
        <f>SUMIFS('100K OMAHA MYSTERY BOUNTY'!$C$8:$C$32,'100K OMAHA MYSTERY BOUNTY'!$D$8:$D$32,$C25)</f>
        <v>0</v>
      </c>
      <c r="K25" s="8">
        <f>SUMIFS('CHAMPIONSHIP HIGH ROLLER 200K'!$C$8:$C$72,'CHAMPIONSHIP HIGH ROLLER 200K'!$D$8:$D$72,$C25)</f>
        <v>0</v>
      </c>
      <c r="L25" s="8">
        <f>SUMIFS('PLO-NLH DEALER´S CHOICE PIJAMA'!$C$8:$C$27,'PLO-NLH DEALER´S CHOICE PIJAMA'!$D$8:$D$27,$C25)</f>
        <v>0</v>
      </c>
      <c r="M25" s="8">
        <f>SUMIFS('Main Event SPT - Dia Final'!$C$8:$C$221,'Main Event SPT - Dia Final'!$D$8:$D$221,$C25)</f>
        <v>0</v>
      </c>
      <c r="N25" s="8">
        <f>SUMIFS('SECOND CHANCE'!$C$8:$C$86,'SECOND CHANCE'!$D$8:$D$86,$C25)</f>
        <v>1290</v>
      </c>
      <c r="O25" s="8">
        <f>SUMIFS('HIGH ROLLER 50K'!$C$8:$C$38,'HIGH ROLLER 50K'!$D$8:$D$38,$C25)</f>
        <v>0</v>
      </c>
      <c r="P25" s="8">
        <f>SUMIFS('OMAHA DEALER´S CHOICE'!$C$8:$C$30,'OMAHA DEALER´S CHOICE'!$D$8:$D$30,$C25)</f>
        <v>0</v>
      </c>
    </row>
    <row r="26" spans="1:16">
      <c r="A26" s="4">
        <f t="shared" si="0"/>
        <v>22</v>
      </c>
      <c r="B26" s="5" t="s">
        <v>25</v>
      </c>
      <c r="C26" s="6" t="s">
        <v>26</v>
      </c>
      <c r="D26" s="7">
        <f t="shared" si="1"/>
        <v>1283</v>
      </c>
      <c r="E26" s="4">
        <f>COUNTIF('200K OMAHA 5 K.O'!$D$8:$D$37,$C26)+COUNTIF(HORSE!$D$8:$D$26,$C26)+COUNTIF('SUPER K.O'!$D$8:$D$41,$C26)+COUNTIF('8 GAME'!$D$8:$D$21,$C26)+COUNTIF('100K OMAHA MYSTERY BOUNTY'!$D$8:$D$32,$C26)+COUNTIF('CHAMPIONSHIP HIGH ROLLER 200K'!$D$8:$D$72,$C26)+COUNTIF('PLO-NLH DEALER´S CHOICE PIJAMA'!$D$8:$D$27,$C26)+COUNTIF('Main Event SPT - Dia Final'!$D$8:$D$221,$C26)+COUNTIF('SECOND CHANCE'!$D$8:$D$86,$C26)+COUNTIF('HIGH ROLLER 50K'!$D$8:$D$38,$C26)+COUNTIF('OMAHA DEALER´S CHOICE'!$D$8:$D$30,$C26)</f>
        <v>8</v>
      </c>
      <c r="F26" s="8">
        <f>SUMIFS('200K OMAHA 5 K.O'!$C$8:$C$37,'200K OMAHA 5 K.O'!$D$8:$D$37,$C26)</f>
        <v>540</v>
      </c>
      <c r="G26" s="8">
        <f>SUMIFS(HORSE!$C$8:$C$26,HORSE!$D$8:$D$26,$C26)</f>
        <v>10</v>
      </c>
      <c r="H26" s="8">
        <f>SUMIFS('SUPER K.O'!$C$8:$C$41,'SUPER K.O'!$D$8:$D$41,$C26)</f>
        <v>10</v>
      </c>
      <c r="I26" s="8">
        <f>SUMIFS('8 GAME'!$C$8:$C$21,'8 GAME'!$D$8:$D$21,$C26)</f>
        <v>0</v>
      </c>
      <c r="J26" s="8">
        <f>SUMIFS('100K OMAHA MYSTERY BOUNTY'!$C$8:$C$32,'100K OMAHA MYSTERY BOUNTY'!$D$8:$D$32,$C26)</f>
        <v>315</v>
      </c>
      <c r="K26" s="8">
        <f>SUMIFS('CHAMPIONSHIP HIGH ROLLER 200K'!$C$8:$C$72,'CHAMPIONSHIP HIGH ROLLER 200K'!$D$8:$D$72,$C26)</f>
        <v>10</v>
      </c>
      <c r="L26" s="8">
        <f>SUMIFS('PLO-NLH DEALER´S CHOICE PIJAMA'!$C$8:$C$27,'PLO-NLH DEALER´S CHOICE PIJAMA'!$D$8:$D$27,$C26)</f>
        <v>0</v>
      </c>
      <c r="M26" s="8">
        <f>SUMIFS('Main Event SPT - Dia Final'!$C$8:$C$221,'Main Event SPT - Dia Final'!$D$8:$D$221,$C26)</f>
        <v>378</v>
      </c>
      <c r="N26" s="8">
        <f>SUMIFS('SECOND CHANCE'!$C$8:$C$86,'SECOND CHANCE'!$D$8:$D$86,$C26)</f>
        <v>10</v>
      </c>
      <c r="O26" s="8">
        <f>SUMIFS('HIGH ROLLER 50K'!$C$8:$C$38,'HIGH ROLLER 50K'!$D$8:$D$38,$C26)</f>
        <v>10</v>
      </c>
      <c r="P26" s="8">
        <f>SUMIFS('OMAHA DEALER´S CHOICE'!$C$8:$C$30,'OMAHA DEALER´S CHOICE'!$D$8:$D$30,$C26)</f>
        <v>0</v>
      </c>
    </row>
    <row r="27" spans="1:16">
      <c r="A27" s="4">
        <f t="shared" si="0"/>
        <v>23</v>
      </c>
      <c r="B27" s="5" t="s">
        <v>29</v>
      </c>
      <c r="C27" s="6" t="s">
        <v>30</v>
      </c>
      <c r="D27" s="7">
        <f t="shared" si="1"/>
        <v>1282.5</v>
      </c>
      <c r="E27" s="4">
        <f>COUNTIF('200K OMAHA 5 K.O'!$D$8:$D$37,$C27)+COUNTIF(HORSE!$D$8:$D$26,$C27)+COUNTIF('SUPER K.O'!$D$8:$D$41,$C27)+COUNTIF('8 GAME'!$D$8:$D$21,$C27)+COUNTIF('100K OMAHA MYSTERY BOUNTY'!$D$8:$D$32,$C27)+COUNTIF('CHAMPIONSHIP HIGH ROLLER 200K'!$D$8:$D$72,$C27)+COUNTIF('PLO-NLH DEALER´S CHOICE PIJAMA'!$D$8:$D$27,$C27)+COUNTIF('Main Event SPT - Dia Final'!$D$8:$D$221,$C27)+COUNTIF('SECOND CHANCE'!$D$8:$D$86,$C27)+COUNTIF('HIGH ROLLER 50K'!$D$8:$D$38,$C27)+COUNTIF('OMAHA DEALER´S CHOICE'!$D$8:$D$30,$C27)</f>
        <v>2</v>
      </c>
      <c r="F27" s="8">
        <f>SUMIFS('200K OMAHA 5 K.O'!$C$8:$C$37,'200K OMAHA 5 K.O'!$D$8:$D$37,$C27)</f>
        <v>420</v>
      </c>
      <c r="G27" s="8">
        <f>SUMIFS(HORSE!$C$8:$C$26,HORSE!$D$8:$D$26,$C27)</f>
        <v>0</v>
      </c>
      <c r="H27" s="8">
        <f>SUMIFS('SUPER K.O'!$C$8:$C$41,'SUPER K.O'!$D$8:$D$41,$C27)</f>
        <v>0</v>
      </c>
      <c r="I27" s="8">
        <f>SUMIFS('8 GAME'!$C$8:$C$21,'8 GAME'!$D$8:$D$21,$C27)</f>
        <v>0</v>
      </c>
      <c r="J27" s="8">
        <f>SUMIFS('100K OMAHA MYSTERY BOUNTY'!$C$8:$C$32,'100K OMAHA MYSTERY BOUNTY'!$D$8:$D$32,$C27)</f>
        <v>0</v>
      </c>
      <c r="K27" s="8">
        <f>SUMIFS('CHAMPIONSHIP HIGH ROLLER 200K'!$C$8:$C$72,'CHAMPIONSHIP HIGH ROLLER 200K'!$D$8:$D$72,$C27)</f>
        <v>862.5</v>
      </c>
      <c r="L27" s="8">
        <f>SUMIFS('PLO-NLH DEALER´S CHOICE PIJAMA'!$C$8:$C$27,'PLO-NLH DEALER´S CHOICE PIJAMA'!$D$8:$D$27,$C27)</f>
        <v>0</v>
      </c>
      <c r="M27" s="8">
        <f>SUMIFS('Main Event SPT - Dia Final'!$C$8:$C$221,'Main Event SPT - Dia Final'!$D$8:$D$221,$C27)</f>
        <v>0</v>
      </c>
      <c r="N27" s="8">
        <f>SUMIFS('SECOND CHANCE'!$C$8:$C$86,'SECOND CHANCE'!$D$8:$D$86,$C27)</f>
        <v>0</v>
      </c>
      <c r="O27" s="8">
        <f>SUMIFS('HIGH ROLLER 50K'!$C$8:$C$38,'HIGH ROLLER 50K'!$D$8:$D$38,$C27)</f>
        <v>0</v>
      </c>
      <c r="P27" s="8">
        <f>SUMIFS('OMAHA DEALER´S CHOICE'!$C$8:$C$30,'OMAHA DEALER´S CHOICE'!$D$8:$D$30,$C27)</f>
        <v>0</v>
      </c>
    </row>
    <row r="28" spans="1:16">
      <c r="A28" s="4">
        <f t="shared" si="0"/>
        <v>24</v>
      </c>
      <c r="B28" s="5" t="s">
        <v>15</v>
      </c>
      <c r="C28" s="6" t="s">
        <v>16</v>
      </c>
      <c r="D28" s="7">
        <f t="shared" si="1"/>
        <v>1270</v>
      </c>
      <c r="E28" s="4">
        <f>COUNTIF('200K OMAHA 5 K.O'!$D$8:$D$37,$C28)+COUNTIF(HORSE!$D$8:$D$26,$C28)+COUNTIF('SUPER K.O'!$D$8:$D$41,$C28)+COUNTIF('8 GAME'!$D$8:$D$21,$C28)+COUNTIF('100K OMAHA MYSTERY BOUNTY'!$D$8:$D$32,$C28)+COUNTIF('CHAMPIONSHIP HIGH ROLLER 200K'!$D$8:$D$72,$C28)+COUNTIF('PLO-NLH DEALER´S CHOICE PIJAMA'!$D$8:$D$27,$C28)+COUNTIF('Main Event SPT - Dia Final'!$D$8:$D$221,$C28)+COUNTIF('SECOND CHANCE'!$D$8:$D$86,$C28)+COUNTIF('HIGH ROLLER 50K'!$D$8:$D$38,$C28)+COUNTIF('OMAHA DEALER´S CHOICE'!$D$8:$D$30,$C28)</f>
        <v>8</v>
      </c>
      <c r="F28" s="8">
        <f>SUMIFS('200K OMAHA 5 K.O'!$C$8:$C$37,'200K OMAHA 5 K.O'!$D$8:$D$37,$C28)</f>
        <v>1200</v>
      </c>
      <c r="G28" s="8">
        <f>SUMIFS(HORSE!$C$8:$C$26,HORSE!$D$8:$D$26,$C28)</f>
        <v>0</v>
      </c>
      <c r="H28" s="8">
        <f>SUMIFS('SUPER K.O'!$C$8:$C$41,'SUPER K.O'!$D$8:$D$41,$C28)</f>
        <v>0</v>
      </c>
      <c r="I28" s="8">
        <f>SUMIFS('8 GAME'!$C$8:$C$21,'8 GAME'!$D$8:$D$21,$C28)</f>
        <v>10</v>
      </c>
      <c r="J28" s="8">
        <f>SUMIFS('100K OMAHA MYSTERY BOUNTY'!$C$8:$C$32,'100K OMAHA MYSTERY BOUNTY'!$D$8:$D$32,$C28)</f>
        <v>10</v>
      </c>
      <c r="K28" s="8">
        <f>SUMIFS('CHAMPIONSHIP HIGH ROLLER 200K'!$C$8:$C$72,'CHAMPIONSHIP HIGH ROLLER 200K'!$D$8:$D$72,$C28)</f>
        <v>10</v>
      </c>
      <c r="L28" s="8">
        <f>SUMIFS('PLO-NLH DEALER´S CHOICE PIJAMA'!$C$8:$C$27,'PLO-NLH DEALER´S CHOICE PIJAMA'!$D$8:$D$27,$C28)</f>
        <v>0</v>
      </c>
      <c r="M28" s="8">
        <f>SUMIFS('Main Event SPT - Dia Final'!$C$8:$C$221,'Main Event SPT - Dia Final'!$D$8:$D$221,$C28)</f>
        <v>10</v>
      </c>
      <c r="N28" s="8">
        <f>SUMIFS('SECOND CHANCE'!$C$8:$C$86,'SECOND CHANCE'!$D$8:$D$86,$C28)</f>
        <v>10</v>
      </c>
      <c r="O28" s="8">
        <f>SUMIFS('HIGH ROLLER 50K'!$C$8:$C$38,'HIGH ROLLER 50K'!$D$8:$D$38,$C28)</f>
        <v>10</v>
      </c>
      <c r="P28" s="8">
        <f>SUMIFS('OMAHA DEALER´S CHOICE'!$C$8:$C$30,'OMAHA DEALER´S CHOICE'!$D$8:$D$30,$C28)</f>
        <v>10</v>
      </c>
    </row>
    <row r="29" spans="1:16">
      <c r="A29" s="4">
        <f t="shared" si="0"/>
        <v>25</v>
      </c>
      <c r="B29" s="5" t="s">
        <v>198</v>
      </c>
      <c r="C29" s="6" t="s">
        <v>199</v>
      </c>
      <c r="D29" s="7">
        <f t="shared" si="1"/>
        <v>1238.5</v>
      </c>
      <c r="E29" s="4">
        <f>COUNTIF('200K OMAHA 5 K.O'!$D$8:$D$37,$C29)+COUNTIF(HORSE!$D$8:$D$26,$C29)+COUNTIF('SUPER K.O'!$D$8:$D$41,$C29)+COUNTIF('8 GAME'!$D$8:$D$21,$C29)+COUNTIF('100K OMAHA MYSTERY BOUNTY'!$D$8:$D$32,$C29)+COUNTIF('CHAMPIONSHIP HIGH ROLLER 200K'!$D$8:$D$72,$C29)+COUNTIF('PLO-NLH DEALER´S CHOICE PIJAMA'!$D$8:$D$27,$C29)+COUNTIF('Main Event SPT - Dia Final'!$D$8:$D$221,$C29)+COUNTIF('SECOND CHANCE'!$D$8:$D$86,$C29)+COUNTIF('HIGH ROLLER 50K'!$D$8:$D$38,$C29)+COUNTIF('OMAHA DEALER´S CHOICE'!$D$8:$D$30,$C29)</f>
        <v>3</v>
      </c>
      <c r="F29" s="8">
        <f>SUMIFS('200K OMAHA 5 K.O'!$C$8:$C$37,'200K OMAHA 5 K.O'!$D$8:$D$37,$C29)</f>
        <v>0</v>
      </c>
      <c r="G29" s="8">
        <f>SUMIFS(HORSE!$C$8:$C$26,HORSE!$D$8:$D$26,$C29)</f>
        <v>0</v>
      </c>
      <c r="H29" s="8">
        <f>SUMIFS('SUPER K.O'!$C$8:$C$41,'SUPER K.O'!$D$8:$D$41,$C29)</f>
        <v>0</v>
      </c>
      <c r="I29" s="8">
        <f>SUMIFS('8 GAME'!$C$8:$C$21,'8 GAME'!$D$8:$D$21,$C29)</f>
        <v>0</v>
      </c>
      <c r="J29" s="8">
        <f>SUMIFS('100K OMAHA MYSTERY BOUNTY'!$C$8:$C$32,'100K OMAHA MYSTERY BOUNTY'!$D$8:$D$32,$C29)</f>
        <v>0</v>
      </c>
      <c r="K29" s="8">
        <f>SUMIFS('CHAMPIONSHIP HIGH ROLLER 200K'!$C$8:$C$72,'CHAMPIONSHIP HIGH ROLLER 200K'!$D$8:$D$72,$C29)</f>
        <v>10</v>
      </c>
      <c r="L29" s="8">
        <f>SUMIFS('PLO-NLH DEALER´S CHOICE PIJAMA'!$C$8:$C$27,'PLO-NLH DEALER´S CHOICE PIJAMA'!$D$8:$D$27,$C29)</f>
        <v>0</v>
      </c>
      <c r="M29" s="8">
        <f>SUMIFS('Main Event SPT - Dia Final'!$C$8:$C$221,'Main Event SPT - Dia Final'!$D$8:$D$221,$C29)</f>
        <v>378</v>
      </c>
      <c r="N29" s="8">
        <f>SUMIFS('SECOND CHANCE'!$C$8:$C$86,'SECOND CHANCE'!$D$8:$D$86,$C29)</f>
        <v>0</v>
      </c>
      <c r="O29" s="8">
        <f>SUMIFS('HIGH ROLLER 50K'!$C$8:$C$38,'HIGH ROLLER 50K'!$D$8:$D$38,$C29)</f>
        <v>850.5</v>
      </c>
      <c r="P29" s="8">
        <f>SUMIFS('OMAHA DEALER´S CHOICE'!$C$8:$C$30,'OMAHA DEALER´S CHOICE'!$D$8:$D$30,$C29)</f>
        <v>0</v>
      </c>
    </row>
    <row r="30" spans="1:16">
      <c r="A30" s="4">
        <f t="shared" si="0"/>
        <v>26</v>
      </c>
      <c r="B30" s="5" t="s">
        <v>254</v>
      </c>
      <c r="C30" s="6" t="s">
        <v>255</v>
      </c>
      <c r="D30" s="7">
        <f t="shared" si="1"/>
        <v>1186</v>
      </c>
      <c r="E30" s="4">
        <f>COUNTIF('200K OMAHA 5 K.O'!$D$8:$D$37,$C30)+COUNTIF(HORSE!$D$8:$D$26,$C30)+COUNTIF('SUPER K.O'!$D$8:$D$41,$C30)+COUNTIF('8 GAME'!$D$8:$D$21,$C30)+COUNTIF('100K OMAHA MYSTERY BOUNTY'!$D$8:$D$32,$C30)+COUNTIF('CHAMPIONSHIP HIGH ROLLER 200K'!$D$8:$D$72,$C30)+COUNTIF('PLO-NLH DEALER´S CHOICE PIJAMA'!$D$8:$D$27,$C30)+COUNTIF('Main Event SPT - Dia Final'!$D$8:$D$221,$C30)+COUNTIF('SECOND CHANCE'!$D$8:$D$86,$C30)+COUNTIF('HIGH ROLLER 50K'!$D$8:$D$38,$C30)+COUNTIF('OMAHA DEALER´S CHOICE'!$D$8:$D$30,$C30)</f>
        <v>3</v>
      </c>
      <c r="F30" s="8">
        <f>SUMIFS('200K OMAHA 5 K.O'!$C$8:$C$37,'200K OMAHA 5 K.O'!$D$8:$D$37,$C30)</f>
        <v>0</v>
      </c>
      <c r="G30" s="8">
        <f>SUMIFS(HORSE!$C$8:$C$26,HORSE!$D$8:$D$26,$C30)</f>
        <v>0</v>
      </c>
      <c r="H30" s="8">
        <f>SUMIFS('SUPER K.O'!$C$8:$C$41,'SUPER K.O'!$D$8:$D$41,$C30)</f>
        <v>0</v>
      </c>
      <c r="I30" s="8">
        <f>SUMIFS('8 GAME'!$C$8:$C$21,'8 GAME'!$D$8:$D$21,$C30)</f>
        <v>0</v>
      </c>
      <c r="J30" s="8">
        <f>SUMIFS('100K OMAHA MYSTERY BOUNTY'!$C$8:$C$32,'100K OMAHA MYSTERY BOUNTY'!$D$8:$D$32,$C30)</f>
        <v>0</v>
      </c>
      <c r="K30" s="8">
        <f>SUMIFS('CHAMPIONSHIP HIGH ROLLER 200K'!$C$8:$C$72,'CHAMPIONSHIP HIGH ROLLER 200K'!$D$8:$D$72,$C30)</f>
        <v>0</v>
      </c>
      <c r="L30" s="8">
        <f>SUMIFS('PLO-NLH DEALER´S CHOICE PIJAMA'!$C$8:$C$27,'PLO-NLH DEALER´S CHOICE PIJAMA'!$D$8:$D$27,$C30)</f>
        <v>420</v>
      </c>
      <c r="M30" s="8">
        <f>SUMIFS('Main Event SPT - Dia Final'!$C$8:$C$221,'Main Event SPT - Dia Final'!$D$8:$D$221,$C30)</f>
        <v>756</v>
      </c>
      <c r="N30" s="8">
        <f>SUMIFS('SECOND CHANCE'!$C$8:$C$86,'SECOND CHANCE'!$D$8:$D$86,$C30)</f>
        <v>10</v>
      </c>
      <c r="O30" s="8">
        <f>SUMIFS('HIGH ROLLER 50K'!$C$8:$C$38,'HIGH ROLLER 50K'!$D$8:$D$38,$C30)</f>
        <v>0</v>
      </c>
      <c r="P30" s="8">
        <f>SUMIFS('OMAHA DEALER´S CHOICE'!$C$8:$C$30,'OMAHA DEALER´S CHOICE'!$D$8:$D$30,$C30)</f>
        <v>0</v>
      </c>
    </row>
    <row r="31" spans="1:16">
      <c r="A31" s="4">
        <f t="shared" si="0"/>
        <v>27</v>
      </c>
      <c r="B31" s="5" t="s">
        <v>115</v>
      </c>
      <c r="C31" s="6" t="s">
        <v>116</v>
      </c>
      <c r="D31" s="7">
        <f t="shared" si="1"/>
        <v>1178</v>
      </c>
      <c r="E31" s="4">
        <f>COUNTIF('200K OMAHA 5 K.O'!$D$8:$D$37,$C31)+COUNTIF(HORSE!$D$8:$D$26,$C31)+COUNTIF('SUPER K.O'!$D$8:$D$41,$C31)+COUNTIF('8 GAME'!$D$8:$D$21,$C31)+COUNTIF('100K OMAHA MYSTERY BOUNTY'!$D$8:$D$32,$C31)+COUNTIF('CHAMPIONSHIP HIGH ROLLER 200K'!$D$8:$D$72,$C31)+COUNTIF('PLO-NLH DEALER´S CHOICE PIJAMA'!$D$8:$D$27,$C31)+COUNTIF('Main Event SPT - Dia Final'!$D$8:$D$221,$C31)+COUNTIF('SECOND CHANCE'!$D$8:$D$86,$C31)+COUNTIF('HIGH ROLLER 50K'!$D$8:$D$38,$C31)+COUNTIF('OMAHA DEALER´S CHOICE'!$D$8:$D$30,$C31)</f>
        <v>5</v>
      </c>
      <c r="F31" s="8">
        <f>SUMIFS('200K OMAHA 5 K.O'!$C$8:$C$37,'200K OMAHA 5 K.O'!$D$8:$D$37,$C31)</f>
        <v>0</v>
      </c>
      <c r="G31" s="8">
        <f>SUMIFS(HORSE!$C$8:$C$26,HORSE!$D$8:$D$26,$C31)</f>
        <v>0</v>
      </c>
      <c r="H31" s="8">
        <f>SUMIFS('SUPER K.O'!$C$8:$C$41,'SUPER K.O'!$D$8:$D$41,$C31)</f>
        <v>588</v>
      </c>
      <c r="I31" s="8">
        <f>SUMIFS('8 GAME'!$C$8:$C$21,'8 GAME'!$D$8:$D$21,$C31)</f>
        <v>0</v>
      </c>
      <c r="J31" s="8">
        <f>SUMIFS('100K OMAHA MYSTERY BOUNTY'!$C$8:$C$32,'100K OMAHA MYSTERY BOUNTY'!$D$8:$D$32,$C31)</f>
        <v>0</v>
      </c>
      <c r="K31" s="8">
        <f>SUMIFS('CHAMPIONSHIP HIGH ROLLER 200K'!$C$8:$C$72,'CHAMPIONSHIP HIGH ROLLER 200K'!$D$8:$D$72,$C31)</f>
        <v>10</v>
      </c>
      <c r="L31" s="8">
        <f>SUMIFS('PLO-NLH DEALER´S CHOICE PIJAMA'!$C$8:$C$27,'PLO-NLH DEALER´S CHOICE PIJAMA'!$D$8:$D$27,$C31)</f>
        <v>560</v>
      </c>
      <c r="M31" s="8">
        <f>SUMIFS('Main Event SPT - Dia Final'!$C$8:$C$221,'Main Event SPT - Dia Final'!$D$8:$D$221,$C31)</f>
        <v>10</v>
      </c>
      <c r="N31" s="8">
        <f>SUMIFS('SECOND CHANCE'!$C$8:$C$86,'SECOND CHANCE'!$D$8:$D$86,$C31)</f>
        <v>0</v>
      </c>
      <c r="O31" s="8">
        <f>SUMIFS('HIGH ROLLER 50K'!$C$8:$C$38,'HIGH ROLLER 50K'!$D$8:$D$38,$C31)</f>
        <v>10</v>
      </c>
      <c r="P31" s="8">
        <f>SUMIFS('OMAHA DEALER´S CHOICE'!$C$8:$C$30,'OMAHA DEALER´S CHOICE'!$D$8:$D$30,$C31)</f>
        <v>0</v>
      </c>
    </row>
    <row r="32" spans="1:16">
      <c r="A32" s="4">
        <f t="shared" si="0"/>
        <v>28</v>
      </c>
      <c r="B32" s="5" t="s">
        <v>93</v>
      </c>
      <c r="C32" s="6" t="s">
        <v>94</v>
      </c>
      <c r="D32" s="7">
        <f t="shared" si="1"/>
        <v>1153</v>
      </c>
      <c r="E32" s="4">
        <f>COUNTIF('200K OMAHA 5 K.O'!$D$8:$D$37,$C32)+COUNTIF(HORSE!$D$8:$D$26,$C32)+COUNTIF('SUPER K.O'!$D$8:$D$41,$C32)+COUNTIF('8 GAME'!$D$8:$D$21,$C32)+COUNTIF('100K OMAHA MYSTERY BOUNTY'!$D$8:$D$32,$C32)+COUNTIF('CHAMPIONSHIP HIGH ROLLER 200K'!$D$8:$D$72,$C32)+COUNTIF('PLO-NLH DEALER´S CHOICE PIJAMA'!$D$8:$D$27,$C32)+COUNTIF('Main Event SPT - Dia Final'!$D$8:$D$221,$C32)+COUNTIF('SECOND CHANCE'!$D$8:$D$86,$C32)+COUNTIF('HIGH ROLLER 50K'!$D$8:$D$38,$C32)+COUNTIF('OMAHA DEALER´S CHOICE'!$D$8:$D$30,$C32)</f>
        <v>4</v>
      </c>
      <c r="F32" s="8">
        <f>SUMIFS('200K OMAHA 5 K.O'!$C$8:$C$37,'200K OMAHA 5 K.O'!$D$8:$D$37,$C32)</f>
        <v>0</v>
      </c>
      <c r="G32" s="8">
        <f>SUMIFS(HORSE!$C$8:$C$26,HORSE!$D$8:$D$26,$C32)</f>
        <v>10</v>
      </c>
      <c r="H32" s="8">
        <f>SUMIFS('SUPER K.O'!$C$8:$C$41,'SUPER K.O'!$D$8:$D$41,$C32)</f>
        <v>0</v>
      </c>
      <c r="I32" s="8">
        <f>SUMIFS('8 GAME'!$C$8:$C$21,'8 GAME'!$D$8:$D$21,$C32)</f>
        <v>768</v>
      </c>
      <c r="J32" s="8">
        <f>SUMIFS('100K OMAHA MYSTERY BOUNTY'!$C$8:$C$32,'100K OMAHA MYSTERY BOUNTY'!$D$8:$D$32,$C32)</f>
        <v>0</v>
      </c>
      <c r="K32" s="8">
        <f>SUMIFS('CHAMPIONSHIP HIGH ROLLER 200K'!$C$8:$C$72,'CHAMPIONSHIP HIGH ROLLER 200K'!$D$8:$D$72,$C32)</f>
        <v>0</v>
      </c>
      <c r="L32" s="8">
        <f>SUMIFS('PLO-NLH DEALER´S CHOICE PIJAMA'!$C$8:$C$27,'PLO-NLH DEALER´S CHOICE PIJAMA'!$D$8:$D$27,$C32)</f>
        <v>10</v>
      </c>
      <c r="M32" s="8">
        <f>SUMIFS('Main Event SPT - Dia Final'!$C$8:$C$221,'Main Event SPT - Dia Final'!$D$8:$D$221,$C32)</f>
        <v>0</v>
      </c>
      <c r="N32" s="8">
        <f>SUMIFS('SECOND CHANCE'!$C$8:$C$86,'SECOND CHANCE'!$D$8:$D$86,$C32)</f>
        <v>0</v>
      </c>
      <c r="O32" s="8">
        <f>SUMIFS('HIGH ROLLER 50K'!$C$8:$C$38,'HIGH ROLLER 50K'!$D$8:$D$38,$C32)</f>
        <v>0</v>
      </c>
      <c r="P32" s="8">
        <f>SUMIFS('OMAHA DEALER´S CHOICE'!$C$8:$C$30,'OMAHA DEALER´S CHOICE'!$D$8:$D$30,$C32)</f>
        <v>365</v>
      </c>
    </row>
    <row r="33" spans="1:16">
      <c r="A33" s="4">
        <f t="shared" si="0"/>
        <v>29</v>
      </c>
      <c r="B33" s="5" t="s">
        <v>325</v>
      </c>
      <c r="C33" s="6" t="s">
        <v>326</v>
      </c>
      <c r="D33" s="7">
        <f t="shared" si="1"/>
        <v>1152</v>
      </c>
      <c r="E33" s="4">
        <f>COUNTIF('200K OMAHA 5 K.O'!$D$8:$D$37,$C33)+COUNTIF(HORSE!$D$8:$D$26,$C33)+COUNTIF('SUPER K.O'!$D$8:$D$41,$C33)+COUNTIF('8 GAME'!$D$8:$D$21,$C33)+COUNTIF('100K OMAHA MYSTERY BOUNTY'!$D$8:$D$32,$C33)+COUNTIF('CHAMPIONSHIP HIGH ROLLER 200K'!$D$8:$D$72,$C33)+COUNTIF('PLO-NLH DEALER´S CHOICE PIJAMA'!$D$8:$D$27,$C33)+COUNTIF('Main Event SPT - Dia Final'!$D$8:$D$221,$C33)+COUNTIF('SECOND CHANCE'!$D$8:$D$86,$C33)+COUNTIF('HIGH ROLLER 50K'!$D$8:$D$38,$C33)+COUNTIF('OMAHA DEALER´S CHOICE'!$D$8:$D$30,$C33)</f>
        <v>2</v>
      </c>
      <c r="F33" s="8">
        <f>SUMIFS('200K OMAHA 5 K.O'!$C$8:$C$37,'200K OMAHA 5 K.O'!$D$8:$D$37,$C33)</f>
        <v>0</v>
      </c>
      <c r="G33" s="8">
        <f>SUMIFS(HORSE!$C$8:$C$26,HORSE!$D$8:$D$26,$C33)</f>
        <v>0</v>
      </c>
      <c r="H33" s="8">
        <f>SUMIFS('SUPER K.O'!$C$8:$C$41,'SUPER K.O'!$D$8:$D$41,$C33)</f>
        <v>0</v>
      </c>
      <c r="I33" s="8">
        <f>SUMIFS('8 GAME'!$C$8:$C$21,'8 GAME'!$D$8:$D$21,$C33)</f>
        <v>0</v>
      </c>
      <c r="J33" s="8">
        <f>SUMIFS('100K OMAHA MYSTERY BOUNTY'!$C$8:$C$32,'100K OMAHA MYSTERY BOUNTY'!$D$8:$D$32,$C33)</f>
        <v>0</v>
      </c>
      <c r="K33" s="8">
        <f>SUMIFS('CHAMPIONSHIP HIGH ROLLER 200K'!$C$8:$C$72,'CHAMPIONSHIP HIGH ROLLER 200K'!$D$8:$D$72,$C33)</f>
        <v>0</v>
      </c>
      <c r="L33" s="8">
        <f>SUMIFS('PLO-NLH DEALER´S CHOICE PIJAMA'!$C$8:$C$27,'PLO-NLH DEALER´S CHOICE PIJAMA'!$D$8:$D$27,$C33)</f>
        <v>0</v>
      </c>
      <c r="M33" s="8">
        <f>SUMIFS('Main Event SPT - Dia Final'!$C$8:$C$221,'Main Event SPT - Dia Final'!$D$8:$D$221,$C33)</f>
        <v>378</v>
      </c>
      <c r="N33" s="8">
        <f>SUMIFS('SECOND CHANCE'!$C$8:$C$86,'SECOND CHANCE'!$D$8:$D$86,$C33)</f>
        <v>774</v>
      </c>
      <c r="O33" s="8">
        <f>SUMIFS('HIGH ROLLER 50K'!$C$8:$C$38,'HIGH ROLLER 50K'!$D$8:$D$38,$C33)</f>
        <v>0</v>
      </c>
      <c r="P33" s="8">
        <f>SUMIFS('OMAHA DEALER´S CHOICE'!$C$8:$C$30,'OMAHA DEALER´S CHOICE'!$D$8:$D$30,$C33)</f>
        <v>0</v>
      </c>
    </row>
    <row r="34" spans="1:16">
      <c r="A34" s="4">
        <f t="shared" si="0"/>
        <v>30</v>
      </c>
      <c r="B34" s="5" t="s">
        <v>279</v>
      </c>
      <c r="C34" s="6" t="s">
        <v>280</v>
      </c>
      <c r="D34" s="7">
        <f t="shared" si="1"/>
        <v>1134</v>
      </c>
      <c r="E34" s="4">
        <f>COUNTIF('200K OMAHA 5 K.O'!$D$8:$D$37,$C34)+COUNTIF(HORSE!$D$8:$D$26,$C34)+COUNTIF('SUPER K.O'!$D$8:$D$41,$C34)+COUNTIF('8 GAME'!$D$8:$D$21,$C34)+COUNTIF('100K OMAHA MYSTERY BOUNTY'!$D$8:$D$32,$C34)+COUNTIF('CHAMPIONSHIP HIGH ROLLER 200K'!$D$8:$D$72,$C34)+COUNTIF('PLO-NLH DEALER´S CHOICE PIJAMA'!$D$8:$D$27,$C34)+COUNTIF('Main Event SPT - Dia Final'!$D$8:$D$221,$C34)+COUNTIF('SECOND CHANCE'!$D$8:$D$86,$C34)+COUNTIF('HIGH ROLLER 50K'!$D$8:$D$38,$C34)+COUNTIF('OMAHA DEALER´S CHOICE'!$D$8:$D$30,$C34)</f>
        <v>1</v>
      </c>
      <c r="F34" s="8">
        <f>SUMIFS('200K OMAHA 5 K.O'!$C$8:$C$37,'200K OMAHA 5 K.O'!$D$8:$D$37,$C34)</f>
        <v>0</v>
      </c>
      <c r="G34" s="8">
        <f>SUMIFS(HORSE!$C$8:$C$26,HORSE!$D$8:$D$26,$C34)</f>
        <v>0</v>
      </c>
      <c r="H34" s="8">
        <f>SUMIFS('SUPER K.O'!$C$8:$C$41,'SUPER K.O'!$D$8:$D$41,$C34)</f>
        <v>0</v>
      </c>
      <c r="I34" s="8">
        <f>SUMIFS('8 GAME'!$C$8:$C$21,'8 GAME'!$D$8:$D$21,$C34)</f>
        <v>0</v>
      </c>
      <c r="J34" s="8">
        <f>SUMIFS('100K OMAHA MYSTERY BOUNTY'!$C$8:$C$32,'100K OMAHA MYSTERY BOUNTY'!$D$8:$D$32,$C34)</f>
        <v>0</v>
      </c>
      <c r="K34" s="8">
        <f>SUMIFS('CHAMPIONSHIP HIGH ROLLER 200K'!$C$8:$C$72,'CHAMPIONSHIP HIGH ROLLER 200K'!$D$8:$D$72,$C34)</f>
        <v>0</v>
      </c>
      <c r="L34" s="8">
        <f>SUMIFS('PLO-NLH DEALER´S CHOICE PIJAMA'!$C$8:$C$27,'PLO-NLH DEALER´S CHOICE PIJAMA'!$D$8:$D$27,$C34)</f>
        <v>0</v>
      </c>
      <c r="M34" s="8">
        <f>SUMIFS('Main Event SPT - Dia Final'!$C$8:$C$221,'Main Event SPT - Dia Final'!$D$8:$D$221,$C34)</f>
        <v>1134</v>
      </c>
      <c r="N34" s="8">
        <f>SUMIFS('SECOND CHANCE'!$C$8:$C$86,'SECOND CHANCE'!$D$8:$D$86,$C34)</f>
        <v>0</v>
      </c>
      <c r="O34" s="8">
        <f>SUMIFS('HIGH ROLLER 50K'!$C$8:$C$38,'HIGH ROLLER 50K'!$D$8:$D$38,$C34)</f>
        <v>0</v>
      </c>
      <c r="P34" s="8">
        <f>SUMIFS('OMAHA DEALER´S CHOICE'!$C$8:$C$30,'OMAHA DEALER´S CHOICE'!$D$8:$D$30,$C34)</f>
        <v>0</v>
      </c>
    </row>
    <row r="35" spans="1:16">
      <c r="A35" s="4">
        <f t="shared" si="0"/>
        <v>31</v>
      </c>
      <c r="B35" s="5" t="s">
        <v>200</v>
      </c>
      <c r="C35" s="6" t="s">
        <v>201</v>
      </c>
      <c r="D35" s="7">
        <f t="shared" si="1"/>
        <v>1052</v>
      </c>
      <c r="E35" s="4">
        <f>COUNTIF('200K OMAHA 5 K.O'!$D$8:$D$37,$C35)+COUNTIF(HORSE!$D$8:$D$26,$C35)+COUNTIF('SUPER K.O'!$D$8:$D$41,$C35)+COUNTIF('8 GAME'!$D$8:$D$21,$C35)+COUNTIF('100K OMAHA MYSTERY BOUNTY'!$D$8:$D$32,$C35)+COUNTIF('CHAMPIONSHIP HIGH ROLLER 200K'!$D$8:$D$72,$C35)+COUNTIF('PLO-NLH DEALER´S CHOICE PIJAMA'!$D$8:$D$27,$C35)+COUNTIF('Main Event SPT - Dia Final'!$D$8:$D$221,$C35)+COUNTIF('SECOND CHANCE'!$D$8:$D$86,$C35)+COUNTIF('HIGH ROLLER 50K'!$D$8:$D$38,$C35)+COUNTIF('OMAHA DEALER´S CHOICE'!$D$8:$D$30,$C35)</f>
        <v>3</v>
      </c>
      <c r="F35" s="8">
        <f>SUMIFS('200K OMAHA 5 K.O'!$C$8:$C$37,'200K OMAHA 5 K.O'!$D$8:$D$37,$C35)</f>
        <v>0</v>
      </c>
      <c r="G35" s="8">
        <f>SUMIFS(HORSE!$C$8:$C$26,HORSE!$D$8:$D$26,$C35)</f>
        <v>0</v>
      </c>
      <c r="H35" s="8">
        <f>SUMIFS('SUPER K.O'!$C$8:$C$41,'SUPER K.O'!$D$8:$D$41,$C35)</f>
        <v>0</v>
      </c>
      <c r="I35" s="8">
        <f>SUMIFS('8 GAME'!$C$8:$C$21,'8 GAME'!$D$8:$D$21,$C35)</f>
        <v>0</v>
      </c>
      <c r="J35" s="8">
        <f>SUMIFS('100K OMAHA MYSTERY BOUNTY'!$C$8:$C$32,'100K OMAHA MYSTERY BOUNTY'!$D$8:$D$32,$C35)</f>
        <v>0</v>
      </c>
      <c r="K35" s="8">
        <f>SUMIFS('CHAMPIONSHIP HIGH ROLLER 200K'!$C$8:$C$72,'CHAMPIONSHIP HIGH ROLLER 200K'!$D$8:$D$72,$C35)</f>
        <v>10</v>
      </c>
      <c r="L35" s="8">
        <f>SUMIFS('PLO-NLH DEALER´S CHOICE PIJAMA'!$C$8:$C$27,'PLO-NLH DEALER´S CHOICE PIJAMA'!$D$8:$D$27,$C35)</f>
        <v>0</v>
      </c>
      <c r="M35" s="8">
        <f>SUMIFS('Main Event SPT - Dia Final'!$C$8:$C$221,'Main Event SPT - Dia Final'!$D$8:$D$221,$C35)</f>
        <v>10</v>
      </c>
      <c r="N35" s="8">
        <f>SUMIFS('SECOND CHANCE'!$C$8:$C$86,'SECOND CHANCE'!$D$8:$D$86,$C35)</f>
        <v>1032</v>
      </c>
      <c r="O35" s="8">
        <f>SUMIFS('HIGH ROLLER 50K'!$C$8:$C$38,'HIGH ROLLER 50K'!$D$8:$D$38,$C35)</f>
        <v>0</v>
      </c>
      <c r="P35" s="8">
        <f>SUMIFS('OMAHA DEALER´S CHOICE'!$C$8:$C$30,'OMAHA DEALER´S CHOICE'!$D$8:$D$30,$C35)</f>
        <v>0</v>
      </c>
    </row>
    <row r="36" spans="1:16">
      <c r="A36" s="4">
        <f t="shared" si="0"/>
        <v>32</v>
      </c>
      <c r="B36" s="5" t="s">
        <v>111</v>
      </c>
      <c r="C36" s="6" t="s">
        <v>112</v>
      </c>
      <c r="D36" s="7">
        <f t="shared" si="1"/>
        <v>1050</v>
      </c>
      <c r="E36" s="4">
        <f>COUNTIF('200K OMAHA 5 K.O'!$D$8:$D$37,$C36)+COUNTIF(HORSE!$D$8:$D$26,$C36)+COUNTIF('SUPER K.O'!$D$8:$D$41,$C36)+COUNTIF('8 GAME'!$D$8:$D$21,$C36)+COUNTIF('100K OMAHA MYSTERY BOUNTY'!$D$8:$D$32,$C36)+COUNTIF('CHAMPIONSHIP HIGH ROLLER 200K'!$D$8:$D$72,$C36)+COUNTIF('PLO-NLH DEALER´S CHOICE PIJAMA'!$D$8:$D$27,$C36)+COUNTIF('Main Event SPT - Dia Final'!$D$8:$D$221,$C36)+COUNTIF('SECOND CHANCE'!$D$8:$D$86,$C36)+COUNTIF('HIGH ROLLER 50K'!$D$8:$D$38,$C36)+COUNTIF('OMAHA DEALER´S CHOICE'!$D$8:$D$30,$C36)</f>
        <v>2</v>
      </c>
      <c r="F36" s="8">
        <f>SUMIFS('200K OMAHA 5 K.O'!$C$8:$C$37,'200K OMAHA 5 K.O'!$D$8:$D$37,$C36)</f>
        <v>0</v>
      </c>
      <c r="G36" s="8">
        <f>SUMIFS(HORSE!$C$8:$C$26,HORSE!$D$8:$D$26,$C36)</f>
        <v>0</v>
      </c>
      <c r="H36" s="8">
        <f>SUMIFS('SUPER K.O'!$C$8:$C$41,'SUPER K.O'!$D$8:$D$41,$C36)</f>
        <v>672</v>
      </c>
      <c r="I36" s="8">
        <f>SUMIFS('8 GAME'!$C$8:$C$21,'8 GAME'!$D$8:$D$21,$C36)</f>
        <v>0</v>
      </c>
      <c r="J36" s="8">
        <f>SUMIFS('100K OMAHA MYSTERY BOUNTY'!$C$8:$C$32,'100K OMAHA MYSTERY BOUNTY'!$D$8:$D$32,$C36)</f>
        <v>0</v>
      </c>
      <c r="K36" s="8">
        <f>SUMIFS('CHAMPIONSHIP HIGH ROLLER 200K'!$C$8:$C$72,'CHAMPIONSHIP HIGH ROLLER 200K'!$D$8:$D$72,$C36)</f>
        <v>0</v>
      </c>
      <c r="L36" s="8">
        <f>SUMIFS('PLO-NLH DEALER´S CHOICE PIJAMA'!$C$8:$C$27,'PLO-NLH DEALER´S CHOICE PIJAMA'!$D$8:$D$27,$C36)</f>
        <v>0</v>
      </c>
      <c r="M36" s="8">
        <f>SUMIFS('Main Event SPT - Dia Final'!$C$8:$C$221,'Main Event SPT - Dia Final'!$D$8:$D$221,$C36)</f>
        <v>378</v>
      </c>
      <c r="N36" s="8">
        <f>SUMIFS('SECOND CHANCE'!$C$8:$C$86,'SECOND CHANCE'!$D$8:$D$86,$C36)</f>
        <v>0</v>
      </c>
      <c r="O36" s="8">
        <f>SUMIFS('HIGH ROLLER 50K'!$C$8:$C$38,'HIGH ROLLER 50K'!$D$8:$D$38,$C36)</f>
        <v>0</v>
      </c>
      <c r="P36" s="8">
        <f>SUMIFS('OMAHA DEALER´S CHOICE'!$C$8:$C$30,'OMAHA DEALER´S CHOICE'!$D$8:$D$30,$C36)</f>
        <v>0</v>
      </c>
    </row>
    <row r="37" spans="1:16">
      <c r="A37" s="4">
        <f t="shared" si="0"/>
        <v>33</v>
      </c>
      <c r="B37" s="5" t="s">
        <v>303</v>
      </c>
      <c r="C37" s="6" t="s">
        <v>304</v>
      </c>
      <c r="D37" s="7">
        <f t="shared" si="1"/>
        <v>1023</v>
      </c>
      <c r="E37" s="4">
        <f>COUNTIF('200K OMAHA 5 K.O'!$D$8:$D$37,$C37)+COUNTIF(HORSE!$D$8:$D$26,$C37)+COUNTIF('SUPER K.O'!$D$8:$D$41,$C37)+COUNTIF('8 GAME'!$D$8:$D$21,$C37)+COUNTIF('100K OMAHA MYSTERY BOUNTY'!$D$8:$D$32,$C37)+COUNTIF('CHAMPIONSHIP HIGH ROLLER 200K'!$D$8:$D$72,$C37)+COUNTIF('PLO-NLH DEALER´S CHOICE PIJAMA'!$D$8:$D$27,$C37)+COUNTIF('Main Event SPT - Dia Final'!$D$8:$D$221,$C37)+COUNTIF('SECOND CHANCE'!$D$8:$D$86,$C37)+COUNTIF('HIGH ROLLER 50K'!$D$8:$D$38,$C37)+COUNTIF('OMAHA DEALER´S CHOICE'!$D$8:$D$30,$C37)</f>
        <v>2</v>
      </c>
      <c r="F37" s="8">
        <f>SUMIFS('200K OMAHA 5 K.O'!$C$8:$C$37,'200K OMAHA 5 K.O'!$D$8:$D$37,$C37)</f>
        <v>0</v>
      </c>
      <c r="G37" s="8">
        <f>SUMIFS(HORSE!$C$8:$C$26,HORSE!$D$8:$D$26,$C37)</f>
        <v>0</v>
      </c>
      <c r="H37" s="8">
        <f>SUMIFS('SUPER K.O'!$C$8:$C$41,'SUPER K.O'!$D$8:$D$41,$C37)</f>
        <v>0</v>
      </c>
      <c r="I37" s="8">
        <f>SUMIFS('8 GAME'!$C$8:$C$21,'8 GAME'!$D$8:$D$21,$C37)</f>
        <v>0</v>
      </c>
      <c r="J37" s="8">
        <f>SUMIFS('100K OMAHA MYSTERY BOUNTY'!$C$8:$C$32,'100K OMAHA MYSTERY BOUNTY'!$D$8:$D$32,$C37)</f>
        <v>0</v>
      </c>
      <c r="K37" s="8">
        <f>SUMIFS('CHAMPIONSHIP HIGH ROLLER 200K'!$C$8:$C$72,'CHAMPIONSHIP HIGH ROLLER 200K'!$D$8:$D$72,$C37)</f>
        <v>0</v>
      </c>
      <c r="L37" s="8">
        <f>SUMIFS('PLO-NLH DEALER´S CHOICE PIJAMA'!$C$8:$C$27,'PLO-NLH DEALER´S CHOICE PIJAMA'!$D$8:$D$27,$C37)</f>
        <v>0</v>
      </c>
      <c r="M37" s="8">
        <f>SUMIFS('Main Event SPT - Dia Final'!$C$8:$C$221,'Main Event SPT - Dia Final'!$D$8:$D$221,$C37)</f>
        <v>378</v>
      </c>
      <c r="N37" s="8">
        <f>SUMIFS('SECOND CHANCE'!$C$8:$C$86,'SECOND CHANCE'!$D$8:$D$86,$C37)</f>
        <v>645</v>
      </c>
      <c r="O37" s="8">
        <f>SUMIFS('HIGH ROLLER 50K'!$C$8:$C$38,'HIGH ROLLER 50K'!$D$8:$D$38,$C37)</f>
        <v>0</v>
      </c>
      <c r="P37" s="8">
        <f>SUMIFS('OMAHA DEALER´S CHOICE'!$C$8:$C$30,'OMAHA DEALER´S CHOICE'!$D$8:$D$30,$C37)</f>
        <v>0</v>
      </c>
    </row>
    <row r="38" spans="1:16">
      <c r="A38" s="4">
        <f t="shared" si="0"/>
        <v>34</v>
      </c>
      <c r="B38" s="5" t="s">
        <v>232</v>
      </c>
      <c r="C38" s="6" t="s">
        <v>233</v>
      </c>
      <c r="D38" s="7">
        <f t="shared" si="1"/>
        <v>992</v>
      </c>
      <c r="E38" s="4">
        <f>COUNTIF('200K OMAHA 5 K.O'!$D$8:$D$37,$C38)+COUNTIF(HORSE!$D$8:$D$26,$C38)+COUNTIF('SUPER K.O'!$D$8:$D$41,$C38)+COUNTIF('8 GAME'!$D$8:$D$21,$C38)+COUNTIF('100K OMAHA MYSTERY BOUNTY'!$D$8:$D$32,$C38)+COUNTIF('CHAMPIONSHIP HIGH ROLLER 200K'!$D$8:$D$72,$C38)+COUNTIF('PLO-NLH DEALER´S CHOICE PIJAMA'!$D$8:$D$27,$C38)+COUNTIF('Main Event SPT - Dia Final'!$D$8:$D$221,$C38)+COUNTIF('SECOND CHANCE'!$D$8:$D$86,$C38)+COUNTIF('HIGH ROLLER 50K'!$D$8:$D$38,$C38)+COUNTIF('OMAHA DEALER´S CHOICE'!$D$8:$D$30,$C38)</f>
        <v>3</v>
      </c>
      <c r="F38" s="8">
        <f>SUMIFS('200K OMAHA 5 K.O'!$C$8:$C$37,'200K OMAHA 5 K.O'!$D$8:$D$37,$C38)</f>
        <v>0</v>
      </c>
      <c r="G38" s="8">
        <f>SUMIFS(HORSE!$C$8:$C$26,HORSE!$D$8:$D$26,$C38)</f>
        <v>0</v>
      </c>
      <c r="H38" s="8">
        <f>SUMIFS('SUPER K.O'!$C$8:$C$41,'SUPER K.O'!$D$8:$D$41,$C38)</f>
        <v>0</v>
      </c>
      <c r="I38" s="8">
        <f>SUMIFS('8 GAME'!$C$8:$C$21,'8 GAME'!$D$8:$D$21,$C38)</f>
        <v>0</v>
      </c>
      <c r="J38" s="8">
        <f>SUMIFS('100K OMAHA MYSTERY BOUNTY'!$C$8:$C$32,'100K OMAHA MYSTERY BOUNTY'!$D$8:$D$32,$C38)</f>
        <v>0</v>
      </c>
      <c r="K38" s="8">
        <f>SUMIFS('CHAMPIONSHIP HIGH ROLLER 200K'!$C$8:$C$72,'CHAMPIONSHIP HIGH ROLLER 200K'!$D$8:$D$72,$C38)</f>
        <v>10</v>
      </c>
      <c r="L38" s="8">
        <f>SUMIFS('PLO-NLH DEALER´S CHOICE PIJAMA'!$C$8:$C$27,'PLO-NLH DEALER´S CHOICE PIJAMA'!$D$8:$D$27,$C38)</f>
        <v>0</v>
      </c>
      <c r="M38" s="8">
        <f>SUMIFS('Main Event SPT - Dia Final'!$C$8:$C$221,'Main Event SPT - Dia Final'!$D$8:$D$221,$C38)</f>
        <v>10</v>
      </c>
      <c r="N38" s="8">
        <f>SUMIFS('SECOND CHANCE'!$C$8:$C$86,'SECOND CHANCE'!$D$8:$D$86,$C38)</f>
        <v>0</v>
      </c>
      <c r="O38" s="8">
        <f>SUMIFS('HIGH ROLLER 50K'!$C$8:$C$38,'HIGH ROLLER 50K'!$D$8:$D$38,$C38)</f>
        <v>972</v>
      </c>
      <c r="P38" s="8">
        <f>SUMIFS('OMAHA DEALER´S CHOICE'!$C$8:$C$30,'OMAHA DEALER´S CHOICE'!$D$8:$D$30,$C38)</f>
        <v>0</v>
      </c>
    </row>
    <row r="39" spans="1:16">
      <c r="A39" s="4">
        <f t="shared" si="0"/>
        <v>35</v>
      </c>
      <c r="B39" s="5" t="s">
        <v>431</v>
      </c>
      <c r="C39" s="6" t="s">
        <v>432</v>
      </c>
      <c r="D39" s="7">
        <f t="shared" si="1"/>
        <v>982</v>
      </c>
      <c r="E39" s="4">
        <f>COUNTIF('200K OMAHA 5 K.O'!$D$8:$D$37,$C39)+COUNTIF(HORSE!$D$8:$D$26,$C39)+COUNTIF('SUPER K.O'!$D$8:$D$41,$C39)+COUNTIF('8 GAME'!$D$8:$D$21,$C39)+COUNTIF('100K OMAHA MYSTERY BOUNTY'!$D$8:$D$32,$C39)+COUNTIF('CHAMPIONSHIP HIGH ROLLER 200K'!$D$8:$D$72,$C39)+COUNTIF('PLO-NLH DEALER´S CHOICE PIJAMA'!$D$8:$D$27,$C39)+COUNTIF('Main Event SPT - Dia Final'!$D$8:$D$221,$C39)+COUNTIF('SECOND CHANCE'!$D$8:$D$86,$C39)+COUNTIF('HIGH ROLLER 50K'!$D$8:$D$38,$C39)+COUNTIF('OMAHA DEALER´S CHOICE'!$D$8:$D$30,$C39)</f>
        <v>2</v>
      </c>
      <c r="F39" s="8">
        <f>SUMIFS('200K OMAHA 5 K.O'!$C$8:$C$37,'200K OMAHA 5 K.O'!$D$8:$D$37,$C39)</f>
        <v>0</v>
      </c>
      <c r="G39" s="8">
        <f>SUMIFS(HORSE!$C$8:$C$26,HORSE!$D$8:$D$26,$C39)</f>
        <v>0</v>
      </c>
      <c r="H39" s="8">
        <f>SUMIFS('SUPER K.O'!$C$8:$C$41,'SUPER K.O'!$D$8:$D$41,$C39)</f>
        <v>0</v>
      </c>
      <c r="I39" s="8">
        <f>SUMIFS('8 GAME'!$C$8:$C$21,'8 GAME'!$D$8:$D$21,$C39)</f>
        <v>0</v>
      </c>
      <c r="J39" s="8">
        <f>SUMIFS('100K OMAHA MYSTERY BOUNTY'!$C$8:$C$32,'100K OMAHA MYSTERY BOUNTY'!$D$8:$D$32,$C39)</f>
        <v>0</v>
      </c>
      <c r="K39" s="8">
        <f>SUMIFS('CHAMPIONSHIP HIGH ROLLER 200K'!$C$8:$C$72,'CHAMPIONSHIP HIGH ROLLER 200K'!$D$8:$D$72,$C39)</f>
        <v>0</v>
      </c>
      <c r="L39" s="8">
        <f>SUMIFS('PLO-NLH DEALER´S CHOICE PIJAMA'!$C$8:$C$27,'PLO-NLH DEALER´S CHOICE PIJAMA'!$D$8:$D$27,$C39)</f>
        <v>0</v>
      </c>
      <c r="M39" s="8">
        <f>SUMIFS('Main Event SPT - Dia Final'!$C$8:$C$221,'Main Event SPT - Dia Final'!$D$8:$D$221,$C39)</f>
        <v>10</v>
      </c>
      <c r="N39" s="8">
        <f>SUMIFS('SECOND CHANCE'!$C$8:$C$86,'SECOND CHANCE'!$D$8:$D$86,$C39)</f>
        <v>0</v>
      </c>
      <c r="O39" s="8">
        <f>SUMIFS('HIGH ROLLER 50K'!$C$8:$C$38,'HIGH ROLLER 50K'!$D$8:$D$38,$C39)</f>
        <v>972</v>
      </c>
      <c r="P39" s="8">
        <f>SUMIFS('OMAHA DEALER´S CHOICE'!$C$8:$C$30,'OMAHA DEALER´S CHOICE'!$D$8:$D$30,$C39)</f>
        <v>0</v>
      </c>
    </row>
    <row r="40" spans="1:16">
      <c r="A40" s="4">
        <f t="shared" si="0"/>
        <v>36</v>
      </c>
      <c r="B40" s="5" t="s">
        <v>85</v>
      </c>
      <c r="C40" s="6" t="s">
        <v>86</v>
      </c>
      <c r="D40" s="7">
        <f t="shared" si="1"/>
        <v>971.6</v>
      </c>
      <c r="E40" s="4">
        <f>COUNTIF('200K OMAHA 5 K.O'!$D$8:$D$37,$C40)+COUNTIF(HORSE!$D$8:$D$26,$C40)+COUNTIF('SUPER K.O'!$D$8:$D$41,$C40)+COUNTIF('8 GAME'!$D$8:$D$21,$C40)+COUNTIF('100K OMAHA MYSTERY BOUNTY'!$D$8:$D$32,$C40)+COUNTIF('CHAMPIONSHIP HIGH ROLLER 200K'!$D$8:$D$72,$C40)+COUNTIF('PLO-NLH DEALER´S CHOICE PIJAMA'!$D$8:$D$27,$C40)+COUNTIF('Main Event SPT - Dia Final'!$D$8:$D$221,$C40)+COUNTIF('SECOND CHANCE'!$D$8:$D$86,$C40)+COUNTIF('HIGH ROLLER 50K'!$D$8:$D$38,$C40)+COUNTIF('OMAHA DEALER´S CHOICE'!$D$8:$D$30,$C40)</f>
        <v>4</v>
      </c>
      <c r="F40" s="8">
        <f>SUMIFS('200K OMAHA 5 K.O'!$C$8:$C$37,'200K OMAHA 5 K.O'!$D$8:$D$37,$C40)</f>
        <v>0</v>
      </c>
      <c r="G40" s="8">
        <f>SUMIFS(HORSE!$C$8:$C$26,HORSE!$D$8:$D$26,$C40)</f>
        <v>414</v>
      </c>
      <c r="H40" s="8">
        <f>SUMIFS('SUPER K.O'!$C$8:$C$41,'SUPER K.O'!$D$8:$D$41,$C40)</f>
        <v>0</v>
      </c>
      <c r="I40" s="8">
        <f>SUMIFS('8 GAME'!$C$8:$C$21,'8 GAME'!$D$8:$D$21,$C40)</f>
        <v>537.6</v>
      </c>
      <c r="J40" s="8">
        <f>SUMIFS('100K OMAHA MYSTERY BOUNTY'!$C$8:$C$32,'100K OMAHA MYSTERY BOUNTY'!$D$8:$D$32,$C40)</f>
        <v>0</v>
      </c>
      <c r="K40" s="8">
        <f>SUMIFS('CHAMPIONSHIP HIGH ROLLER 200K'!$C$8:$C$72,'CHAMPIONSHIP HIGH ROLLER 200K'!$D$8:$D$72,$C40)</f>
        <v>0</v>
      </c>
      <c r="L40" s="8">
        <f>SUMIFS('PLO-NLH DEALER´S CHOICE PIJAMA'!$C$8:$C$27,'PLO-NLH DEALER´S CHOICE PIJAMA'!$D$8:$D$27,$C40)</f>
        <v>0</v>
      </c>
      <c r="M40" s="8">
        <f>SUMIFS('Main Event SPT - Dia Final'!$C$8:$C$221,'Main Event SPT - Dia Final'!$D$8:$D$221,$C40)</f>
        <v>10</v>
      </c>
      <c r="N40" s="8">
        <f>SUMIFS('SECOND CHANCE'!$C$8:$C$86,'SECOND CHANCE'!$D$8:$D$86,$C40)</f>
        <v>0</v>
      </c>
      <c r="O40" s="8">
        <f>SUMIFS('HIGH ROLLER 50K'!$C$8:$C$38,'HIGH ROLLER 50K'!$D$8:$D$38,$C40)</f>
        <v>0</v>
      </c>
      <c r="P40" s="8">
        <f>SUMIFS('OMAHA DEALER´S CHOICE'!$C$8:$C$30,'OMAHA DEALER´S CHOICE'!$D$8:$D$30,$C40)</f>
        <v>10</v>
      </c>
    </row>
    <row r="41" spans="1:16">
      <c r="A41" s="4">
        <f t="shared" si="0"/>
        <v>37</v>
      </c>
      <c r="B41" s="5" t="s">
        <v>224</v>
      </c>
      <c r="C41" s="6" t="s">
        <v>225</v>
      </c>
      <c r="D41" s="7">
        <f t="shared" si="1"/>
        <v>955</v>
      </c>
      <c r="E41" s="4">
        <f>COUNTIF('200K OMAHA 5 K.O'!$D$8:$D$37,$C41)+COUNTIF(HORSE!$D$8:$D$26,$C41)+COUNTIF('SUPER K.O'!$D$8:$D$41,$C41)+COUNTIF('8 GAME'!$D$8:$D$21,$C41)+COUNTIF('100K OMAHA MYSTERY BOUNTY'!$D$8:$D$32,$C41)+COUNTIF('CHAMPIONSHIP HIGH ROLLER 200K'!$D$8:$D$72,$C41)+COUNTIF('PLO-NLH DEALER´S CHOICE PIJAMA'!$D$8:$D$27,$C41)+COUNTIF('Main Event SPT - Dia Final'!$D$8:$D$221,$C41)+COUNTIF('SECOND CHANCE'!$D$8:$D$86,$C41)+COUNTIF('HIGH ROLLER 50K'!$D$8:$D$38,$C41)+COUNTIF('OMAHA DEALER´S CHOICE'!$D$8:$D$30,$C41)</f>
        <v>2</v>
      </c>
      <c r="F41" s="8">
        <f>SUMIFS('200K OMAHA 5 K.O'!$C$8:$C$37,'200K OMAHA 5 K.O'!$D$8:$D$37,$C41)</f>
        <v>0</v>
      </c>
      <c r="G41" s="8">
        <f>SUMIFS(HORSE!$C$8:$C$26,HORSE!$D$8:$D$26,$C41)</f>
        <v>0</v>
      </c>
      <c r="H41" s="8">
        <f>SUMIFS('SUPER K.O'!$C$8:$C$41,'SUPER K.O'!$D$8:$D$41,$C41)</f>
        <v>0</v>
      </c>
      <c r="I41" s="8">
        <f>SUMIFS('8 GAME'!$C$8:$C$21,'8 GAME'!$D$8:$D$21,$C41)</f>
        <v>0</v>
      </c>
      <c r="J41" s="8">
        <f>SUMIFS('100K OMAHA MYSTERY BOUNTY'!$C$8:$C$32,'100K OMAHA MYSTERY BOUNTY'!$D$8:$D$32,$C41)</f>
        <v>0</v>
      </c>
      <c r="K41" s="8">
        <f>SUMIFS('CHAMPIONSHIP HIGH ROLLER 200K'!$C$8:$C$72,'CHAMPIONSHIP HIGH ROLLER 200K'!$D$8:$D$72,$C41)</f>
        <v>10</v>
      </c>
      <c r="L41" s="8">
        <f>SUMIFS('PLO-NLH DEALER´S CHOICE PIJAMA'!$C$8:$C$27,'PLO-NLH DEALER´S CHOICE PIJAMA'!$D$8:$D$27,$C41)</f>
        <v>0</v>
      </c>
      <c r="M41" s="8">
        <f>SUMIFS('Main Event SPT - Dia Final'!$C$8:$C$221,'Main Event SPT - Dia Final'!$D$8:$D$221,$C41)</f>
        <v>945</v>
      </c>
      <c r="N41" s="8">
        <f>SUMIFS('SECOND CHANCE'!$C$8:$C$86,'SECOND CHANCE'!$D$8:$D$86,$C41)</f>
        <v>0</v>
      </c>
      <c r="O41" s="8">
        <f>SUMIFS('HIGH ROLLER 50K'!$C$8:$C$38,'HIGH ROLLER 50K'!$D$8:$D$38,$C41)</f>
        <v>0</v>
      </c>
      <c r="P41" s="8">
        <f>SUMIFS('OMAHA DEALER´S CHOICE'!$C$8:$C$30,'OMAHA DEALER´S CHOICE'!$D$8:$D$30,$C41)</f>
        <v>0</v>
      </c>
    </row>
    <row r="42" spans="1:16">
      <c r="A42" s="4">
        <f t="shared" si="0"/>
        <v>38</v>
      </c>
      <c r="B42" s="5" t="s">
        <v>244</v>
      </c>
      <c r="C42" s="6" t="s">
        <v>245</v>
      </c>
      <c r="D42" s="7">
        <f t="shared" si="1"/>
        <v>934.75</v>
      </c>
      <c r="E42" s="4">
        <f>COUNTIF('200K OMAHA 5 K.O'!$D$8:$D$37,$C42)+COUNTIF(HORSE!$D$8:$D$26,$C42)+COUNTIF('SUPER K.O'!$D$8:$D$41,$C42)+COUNTIF('8 GAME'!$D$8:$D$21,$C42)+COUNTIF('100K OMAHA MYSTERY BOUNTY'!$D$8:$D$32,$C42)+COUNTIF('CHAMPIONSHIP HIGH ROLLER 200K'!$D$8:$D$72,$C42)+COUNTIF('PLO-NLH DEALER´S CHOICE PIJAMA'!$D$8:$D$27,$C42)+COUNTIF('Main Event SPT - Dia Final'!$D$8:$D$221,$C42)+COUNTIF('SECOND CHANCE'!$D$8:$D$86,$C42)+COUNTIF('HIGH ROLLER 50K'!$D$8:$D$38,$C42)+COUNTIF('OMAHA DEALER´S CHOICE'!$D$8:$D$30,$C42)</f>
        <v>3</v>
      </c>
      <c r="F42" s="8">
        <f>SUMIFS('200K OMAHA 5 K.O'!$C$8:$C$37,'200K OMAHA 5 K.O'!$D$8:$D$37,$C42)</f>
        <v>0</v>
      </c>
      <c r="G42" s="8">
        <f>SUMIFS(HORSE!$C$8:$C$26,HORSE!$D$8:$D$26,$C42)</f>
        <v>0</v>
      </c>
      <c r="H42" s="8">
        <f>SUMIFS('SUPER K.O'!$C$8:$C$41,'SUPER K.O'!$D$8:$D$41,$C42)</f>
        <v>0</v>
      </c>
      <c r="I42" s="8">
        <f>SUMIFS('8 GAME'!$C$8:$C$21,'8 GAME'!$D$8:$D$21,$C42)</f>
        <v>0</v>
      </c>
      <c r="J42" s="8">
        <f>SUMIFS('100K OMAHA MYSTERY BOUNTY'!$C$8:$C$32,'100K OMAHA MYSTERY BOUNTY'!$D$8:$D$32,$C42)</f>
        <v>0</v>
      </c>
      <c r="K42" s="8">
        <f>SUMIFS('CHAMPIONSHIP HIGH ROLLER 200K'!$C$8:$C$72,'CHAMPIONSHIP HIGH ROLLER 200K'!$D$8:$D$72,$C42)</f>
        <v>10</v>
      </c>
      <c r="L42" s="8">
        <f>SUMIFS('PLO-NLH DEALER´S CHOICE PIJAMA'!$C$8:$C$27,'PLO-NLH DEALER´S CHOICE PIJAMA'!$D$8:$D$27,$C42)</f>
        <v>0</v>
      </c>
      <c r="M42" s="8">
        <f>SUMIFS('Main Event SPT - Dia Final'!$C$8:$C$221,'Main Event SPT - Dia Final'!$D$8:$D$221,$C42)</f>
        <v>378</v>
      </c>
      <c r="N42" s="8">
        <f>SUMIFS('SECOND CHANCE'!$C$8:$C$86,'SECOND CHANCE'!$D$8:$D$86,$C42)</f>
        <v>0</v>
      </c>
      <c r="O42" s="8">
        <f>SUMIFS('HIGH ROLLER 50K'!$C$8:$C$38,'HIGH ROLLER 50K'!$D$8:$D$38,$C42)</f>
        <v>546.75</v>
      </c>
      <c r="P42" s="8">
        <f>SUMIFS('OMAHA DEALER´S CHOICE'!$C$8:$C$30,'OMAHA DEALER´S CHOICE'!$D$8:$D$30,$C42)</f>
        <v>0</v>
      </c>
    </row>
    <row r="43" spans="1:16">
      <c r="A43" s="4">
        <f t="shared" si="0"/>
        <v>39</v>
      </c>
      <c r="B43" s="5" t="s">
        <v>467</v>
      </c>
      <c r="C43" s="6" t="s">
        <v>468</v>
      </c>
      <c r="D43" s="7">
        <f t="shared" si="1"/>
        <v>913</v>
      </c>
      <c r="E43" s="4">
        <f>COUNTIF('200K OMAHA 5 K.O'!$D$8:$D$37,$C43)+COUNTIF(HORSE!$D$8:$D$26,$C43)+COUNTIF('SUPER K.O'!$D$8:$D$41,$C43)+COUNTIF('8 GAME'!$D$8:$D$21,$C43)+COUNTIF('100K OMAHA MYSTERY BOUNTY'!$D$8:$D$32,$C43)+COUNTIF('CHAMPIONSHIP HIGH ROLLER 200K'!$D$8:$D$72,$C43)+COUNTIF('PLO-NLH DEALER´S CHOICE PIJAMA'!$D$8:$D$27,$C43)+COUNTIF('Main Event SPT - Dia Final'!$D$8:$D$221,$C43)+COUNTIF('SECOND CHANCE'!$D$8:$D$86,$C43)+COUNTIF('HIGH ROLLER 50K'!$D$8:$D$38,$C43)+COUNTIF('OMAHA DEALER´S CHOICE'!$D$8:$D$30,$C43)</f>
        <v>2</v>
      </c>
      <c r="F43" s="8">
        <f>SUMIFS('200K OMAHA 5 K.O'!$C$8:$C$37,'200K OMAHA 5 K.O'!$D$8:$D$37,$C43)</f>
        <v>0</v>
      </c>
      <c r="G43" s="8">
        <f>SUMIFS(HORSE!$C$8:$C$26,HORSE!$D$8:$D$26,$C43)</f>
        <v>0</v>
      </c>
      <c r="H43" s="8">
        <f>SUMIFS('SUPER K.O'!$C$8:$C$41,'SUPER K.O'!$D$8:$D$41,$C43)</f>
        <v>0</v>
      </c>
      <c r="I43" s="8">
        <f>SUMIFS('8 GAME'!$C$8:$C$21,'8 GAME'!$D$8:$D$21,$C43)</f>
        <v>0</v>
      </c>
      <c r="J43" s="8">
        <f>SUMIFS('100K OMAHA MYSTERY BOUNTY'!$C$8:$C$32,'100K OMAHA MYSTERY BOUNTY'!$D$8:$D$32,$C43)</f>
        <v>0</v>
      </c>
      <c r="K43" s="8">
        <f>SUMIFS('CHAMPIONSHIP HIGH ROLLER 200K'!$C$8:$C$72,'CHAMPIONSHIP HIGH ROLLER 200K'!$D$8:$D$72,$C43)</f>
        <v>0</v>
      </c>
      <c r="L43" s="8">
        <f>SUMIFS('PLO-NLH DEALER´S CHOICE PIJAMA'!$C$8:$C$27,'PLO-NLH DEALER´S CHOICE PIJAMA'!$D$8:$D$27,$C43)</f>
        <v>0</v>
      </c>
      <c r="M43" s="8">
        <f>SUMIFS('Main Event SPT - Dia Final'!$C$8:$C$221,'Main Event SPT - Dia Final'!$D$8:$D$221,$C43)</f>
        <v>10</v>
      </c>
      <c r="N43" s="8">
        <f>SUMIFS('SECOND CHANCE'!$C$8:$C$86,'SECOND CHANCE'!$D$8:$D$86,$C43)</f>
        <v>903</v>
      </c>
      <c r="O43" s="8">
        <f>SUMIFS('HIGH ROLLER 50K'!$C$8:$C$38,'HIGH ROLLER 50K'!$D$8:$D$38,$C43)</f>
        <v>0</v>
      </c>
      <c r="P43" s="8">
        <f>SUMIFS('OMAHA DEALER´S CHOICE'!$C$8:$C$30,'OMAHA DEALER´S CHOICE'!$D$8:$D$30,$C43)</f>
        <v>0</v>
      </c>
    </row>
    <row r="44" spans="1:16">
      <c r="A44" s="4">
        <f t="shared" si="0"/>
        <v>40</v>
      </c>
      <c r="B44" s="5" t="s">
        <v>158</v>
      </c>
      <c r="C44" s="6" t="s">
        <v>159</v>
      </c>
      <c r="D44" s="7">
        <f t="shared" si="1"/>
        <v>904</v>
      </c>
      <c r="E44" s="4">
        <f>COUNTIF('200K OMAHA 5 K.O'!$D$8:$D$37,$C44)+COUNTIF(HORSE!$D$8:$D$26,$C44)+COUNTIF('SUPER K.O'!$D$8:$D$41,$C44)+COUNTIF('8 GAME'!$D$8:$D$21,$C44)+COUNTIF('100K OMAHA MYSTERY BOUNTY'!$D$8:$D$32,$C44)+COUNTIF('CHAMPIONSHIP HIGH ROLLER 200K'!$D$8:$D$72,$C44)+COUNTIF('PLO-NLH DEALER´S CHOICE PIJAMA'!$D$8:$D$27,$C44)+COUNTIF('Main Event SPT - Dia Final'!$D$8:$D$221,$C44)+COUNTIF('SECOND CHANCE'!$D$8:$D$86,$C44)+COUNTIF('HIGH ROLLER 50K'!$D$8:$D$38,$C44)+COUNTIF('OMAHA DEALER´S CHOICE'!$D$8:$D$30,$C44)</f>
        <v>3</v>
      </c>
      <c r="F44" s="8">
        <f>SUMIFS('200K OMAHA 5 K.O'!$C$8:$C$37,'200K OMAHA 5 K.O'!$D$8:$D$37,$C44)</f>
        <v>0</v>
      </c>
      <c r="G44" s="8">
        <f>SUMIFS(HORSE!$C$8:$C$26,HORSE!$D$8:$D$26,$C44)</f>
        <v>0</v>
      </c>
      <c r="H44" s="8">
        <f>SUMIFS('SUPER K.O'!$C$8:$C$41,'SUPER K.O'!$D$8:$D$41,$C44)</f>
        <v>10</v>
      </c>
      <c r="I44" s="8">
        <f>SUMIFS('8 GAME'!$C$8:$C$21,'8 GAME'!$D$8:$D$21,$C44)</f>
        <v>0</v>
      </c>
      <c r="J44" s="8">
        <f>SUMIFS('100K OMAHA MYSTERY BOUNTY'!$C$8:$C$32,'100K OMAHA MYSTERY BOUNTY'!$D$8:$D$32,$C44)</f>
        <v>0</v>
      </c>
      <c r="K44" s="8">
        <f>SUMIFS('CHAMPIONSHIP HIGH ROLLER 200K'!$C$8:$C$72,'CHAMPIONSHIP HIGH ROLLER 200K'!$D$8:$D$72,$C44)</f>
        <v>0</v>
      </c>
      <c r="L44" s="8">
        <f>SUMIFS('PLO-NLH DEALER´S CHOICE PIJAMA'!$C$8:$C$27,'PLO-NLH DEALER´S CHOICE PIJAMA'!$D$8:$D$27,$C44)</f>
        <v>0</v>
      </c>
      <c r="M44" s="8">
        <f>SUMIFS('Main Event SPT - Dia Final'!$C$8:$C$221,'Main Event SPT - Dia Final'!$D$8:$D$221,$C44)</f>
        <v>378</v>
      </c>
      <c r="N44" s="8">
        <f>SUMIFS('SECOND CHANCE'!$C$8:$C$86,'SECOND CHANCE'!$D$8:$D$86,$C44)</f>
        <v>516</v>
      </c>
      <c r="O44" s="8">
        <f>SUMIFS('HIGH ROLLER 50K'!$C$8:$C$38,'HIGH ROLLER 50K'!$D$8:$D$38,$C44)</f>
        <v>0</v>
      </c>
      <c r="P44" s="8">
        <f>SUMIFS('OMAHA DEALER´S CHOICE'!$C$8:$C$30,'OMAHA DEALER´S CHOICE'!$D$8:$D$30,$C44)</f>
        <v>0</v>
      </c>
    </row>
    <row r="45" spans="1:16">
      <c r="A45" s="4">
        <f t="shared" si="0"/>
        <v>41</v>
      </c>
      <c r="B45" s="5" t="s">
        <v>59</v>
      </c>
      <c r="C45" s="6" t="s">
        <v>60</v>
      </c>
      <c r="D45" s="7">
        <f t="shared" si="1"/>
        <v>868</v>
      </c>
      <c r="E45" s="4">
        <f>COUNTIF('200K OMAHA 5 K.O'!$D$8:$D$37,$C45)+COUNTIF(HORSE!$D$8:$D$26,$C45)+COUNTIF('SUPER K.O'!$D$8:$D$41,$C45)+COUNTIF('8 GAME'!$D$8:$D$21,$C45)+COUNTIF('100K OMAHA MYSTERY BOUNTY'!$D$8:$D$32,$C45)+COUNTIF('CHAMPIONSHIP HIGH ROLLER 200K'!$D$8:$D$72,$C45)+COUNTIF('PLO-NLH DEALER´S CHOICE PIJAMA'!$D$8:$D$27,$C45)+COUNTIF('Main Event SPT - Dia Final'!$D$8:$D$221,$C45)+COUNTIF('SECOND CHANCE'!$D$8:$D$86,$C45)+COUNTIF('HIGH ROLLER 50K'!$D$8:$D$38,$C45)+COUNTIF('OMAHA DEALER´S CHOICE'!$D$8:$D$30,$C45)</f>
        <v>6</v>
      </c>
      <c r="F45" s="8">
        <f>SUMIFS('200K OMAHA 5 K.O'!$C$8:$C$37,'200K OMAHA 5 K.O'!$D$8:$D$37,$C45)</f>
        <v>10</v>
      </c>
      <c r="G45" s="8">
        <f>SUMIFS(HORSE!$C$8:$C$26,HORSE!$D$8:$D$26,$C45)</f>
        <v>10</v>
      </c>
      <c r="H45" s="8">
        <f>SUMIFS('SUPER K.O'!$C$8:$C$41,'SUPER K.O'!$D$8:$D$41,$C45)</f>
        <v>0</v>
      </c>
      <c r="I45" s="8">
        <f>SUMIFS('8 GAME'!$C$8:$C$21,'8 GAME'!$D$8:$D$21,$C45)</f>
        <v>10</v>
      </c>
      <c r="J45" s="8">
        <f>SUMIFS('100K OMAHA MYSTERY BOUNTY'!$C$8:$C$32,'100K OMAHA MYSTERY BOUNTY'!$D$8:$D$32,$C45)</f>
        <v>450</v>
      </c>
      <c r="K45" s="8">
        <f>SUMIFS('CHAMPIONSHIP HIGH ROLLER 200K'!$C$8:$C$72,'CHAMPIONSHIP HIGH ROLLER 200K'!$D$8:$D$72,$C45)</f>
        <v>0</v>
      </c>
      <c r="L45" s="8">
        <f>SUMIFS('PLO-NLH DEALER´S CHOICE PIJAMA'!$C$8:$C$27,'PLO-NLH DEALER´S CHOICE PIJAMA'!$D$8:$D$27,$C45)</f>
        <v>0</v>
      </c>
      <c r="M45" s="8">
        <f>SUMIFS('Main Event SPT - Dia Final'!$C$8:$C$221,'Main Event SPT - Dia Final'!$D$8:$D$221,$C45)</f>
        <v>378</v>
      </c>
      <c r="N45" s="8">
        <f>SUMIFS('SECOND CHANCE'!$C$8:$C$86,'SECOND CHANCE'!$D$8:$D$86,$C45)</f>
        <v>0</v>
      </c>
      <c r="O45" s="8">
        <f>SUMIFS('HIGH ROLLER 50K'!$C$8:$C$38,'HIGH ROLLER 50K'!$D$8:$D$38,$C45)</f>
        <v>0</v>
      </c>
      <c r="P45" s="8">
        <f>SUMIFS('OMAHA DEALER´S CHOICE'!$C$8:$C$30,'OMAHA DEALER´S CHOICE'!$D$8:$D$30,$C45)</f>
        <v>10</v>
      </c>
    </row>
    <row r="46" spans="1:16">
      <c r="A46" s="4">
        <f t="shared" si="0"/>
        <v>41</v>
      </c>
      <c r="B46" s="5" t="s">
        <v>252</v>
      </c>
      <c r="C46" s="6" t="s">
        <v>253</v>
      </c>
      <c r="D46" s="7">
        <f t="shared" si="1"/>
        <v>868</v>
      </c>
      <c r="E46" s="4">
        <f>COUNTIF('200K OMAHA 5 K.O'!$D$8:$D$37,$C46)+COUNTIF(HORSE!$D$8:$D$26,$C46)+COUNTIF('SUPER K.O'!$D$8:$D$41,$C46)+COUNTIF('8 GAME'!$D$8:$D$21,$C46)+COUNTIF('100K OMAHA MYSTERY BOUNTY'!$D$8:$D$32,$C46)+COUNTIF('CHAMPIONSHIP HIGH ROLLER 200K'!$D$8:$D$72,$C46)+COUNTIF('PLO-NLH DEALER´S CHOICE PIJAMA'!$D$8:$D$27,$C46)+COUNTIF('Main Event SPT - Dia Final'!$D$8:$D$221,$C46)+COUNTIF('SECOND CHANCE'!$D$8:$D$86,$C46)+COUNTIF('HIGH ROLLER 50K'!$D$8:$D$38,$C46)+COUNTIF('OMAHA DEALER´S CHOICE'!$D$8:$D$30,$C46)</f>
        <v>2</v>
      </c>
      <c r="F46" s="8">
        <f>SUMIFS('200K OMAHA 5 K.O'!$C$8:$C$37,'200K OMAHA 5 K.O'!$D$8:$D$37,$C46)</f>
        <v>0</v>
      </c>
      <c r="G46" s="8">
        <f>SUMIFS(HORSE!$C$8:$C$26,HORSE!$D$8:$D$26,$C46)</f>
        <v>0</v>
      </c>
      <c r="H46" s="8">
        <f>SUMIFS('SUPER K.O'!$C$8:$C$41,'SUPER K.O'!$D$8:$D$41,$C46)</f>
        <v>0</v>
      </c>
      <c r="I46" s="8">
        <f>SUMIFS('8 GAME'!$C$8:$C$21,'8 GAME'!$D$8:$D$21,$C46)</f>
        <v>0</v>
      </c>
      <c r="J46" s="8">
        <f>SUMIFS('100K OMAHA MYSTERY BOUNTY'!$C$8:$C$32,'100K OMAHA MYSTERY BOUNTY'!$D$8:$D$32,$C46)</f>
        <v>0</v>
      </c>
      <c r="K46" s="8">
        <f>SUMIFS('CHAMPIONSHIP HIGH ROLLER 200K'!$C$8:$C$72,'CHAMPIONSHIP HIGH ROLLER 200K'!$D$8:$D$72,$C46)</f>
        <v>0</v>
      </c>
      <c r="L46" s="8">
        <f>SUMIFS('PLO-NLH DEALER´S CHOICE PIJAMA'!$C$8:$C$27,'PLO-NLH DEALER´S CHOICE PIJAMA'!$D$8:$D$27,$C46)</f>
        <v>490</v>
      </c>
      <c r="M46" s="8">
        <f>SUMIFS('Main Event SPT - Dia Final'!$C$8:$C$221,'Main Event SPT - Dia Final'!$D$8:$D$221,$C46)</f>
        <v>378</v>
      </c>
      <c r="N46" s="8">
        <f>SUMIFS('SECOND CHANCE'!$C$8:$C$86,'SECOND CHANCE'!$D$8:$D$86,$C46)</f>
        <v>0</v>
      </c>
      <c r="O46" s="8">
        <f>SUMIFS('HIGH ROLLER 50K'!$C$8:$C$38,'HIGH ROLLER 50K'!$D$8:$D$38,$C46)</f>
        <v>0</v>
      </c>
      <c r="P46" s="8">
        <f>SUMIFS('OMAHA DEALER´S CHOICE'!$C$8:$C$30,'OMAHA DEALER´S CHOICE'!$D$8:$D$30,$C46)</f>
        <v>0</v>
      </c>
    </row>
    <row r="47" spans="1:16">
      <c r="A47" s="4">
        <f t="shared" si="0"/>
        <v>43</v>
      </c>
      <c r="B47" s="5" t="s">
        <v>35</v>
      </c>
      <c r="C47" s="6" t="s">
        <v>36</v>
      </c>
      <c r="D47" s="7">
        <f t="shared" si="1"/>
        <v>796</v>
      </c>
      <c r="E47" s="4">
        <f>COUNTIF('200K OMAHA 5 K.O'!$D$8:$D$37,$C47)+COUNTIF(HORSE!$D$8:$D$26,$C47)+COUNTIF('SUPER K.O'!$D$8:$D$41,$C47)+COUNTIF('8 GAME'!$D$8:$D$21,$C47)+COUNTIF('100K OMAHA MYSTERY BOUNTY'!$D$8:$D$32,$C47)+COUNTIF('CHAMPIONSHIP HIGH ROLLER 200K'!$D$8:$D$72,$C47)+COUNTIF('PLO-NLH DEALER´S CHOICE PIJAMA'!$D$8:$D$27,$C47)+COUNTIF('Main Event SPT - Dia Final'!$D$8:$D$221,$C47)+COUNTIF('SECOND CHANCE'!$D$8:$D$86,$C47)+COUNTIF('HIGH ROLLER 50K'!$D$8:$D$38,$C47)+COUNTIF('OMAHA DEALER´S CHOICE'!$D$8:$D$30,$C47)</f>
        <v>5</v>
      </c>
      <c r="F47" s="8">
        <f>SUMIFS('200K OMAHA 5 K.O'!$C$8:$C$37,'200K OMAHA 5 K.O'!$D$8:$D$37,$C47)</f>
        <v>10</v>
      </c>
      <c r="G47" s="8">
        <f>SUMIFS(HORSE!$C$8:$C$26,HORSE!$D$8:$D$26,$C47)</f>
        <v>0</v>
      </c>
      <c r="H47" s="8">
        <f>SUMIFS('SUPER K.O'!$C$8:$C$41,'SUPER K.O'!$D$8:$D$41,$C47)</f>
        <v>0</v>
      </c>
      <c r="I47" s="8">
        <f>SUMIFS('8 GAME'!$C$8:$C$21,'8 GAME'!$D$8:$D$21,$C47)</f>
        <v>0</v>
      </c>
      <c r="J47" s="8">
        <f>SUMIFS('100K OMAHA MYSTERY BOUNTY'!$C$8:$C$32,'100K OMAHA MYSTERY BOUNTY'!$D$8:$D$32,$C47)</f>
        <v>10</v>
      </c>
      <c r="K47" s="8">
        <f>SUMIFS('CHAMPIONSHIP HIGH ROLLER 200K'!$C$8:$C$72,'CHAMPIONSHIP HIGH ROLLER 200K'!$D$8:$D$72,$C47)</f>
        <v>10</v>
      </c>
      <c r="L47" s="8">
        <f>SUMIFS('PLO-NLH DEALER´S CHOICE PIJAMA'!$C$8:$C$27,'PLO-NLH DEALER´S CHOICE PIJAMA'!$D$8:$D$27,$C47)</f>
        <v>0</v>
      </c>
      <c r="M47" s="8">
        <f>SUMIFS('Main Event SPT - Dia Final'!$C$8:$C$221,'Main Event SPT - Dia Final'!$D$8:$D$221,$C47)</f>
        <v>756</v>
      </c>
      <c r="N47" s="8">
        <f>SUMIFS('SECOND CHANCE'!$C$8:$C$86,'SECOND CHANCE'!$D$8:$D$86,$C47)</f>
        <v>0</v>
      </c>
      <c r="O47" s="8">
        <f>SUMIFS('HIGH ROLLER 50K'!$C$8:$C$38,'HIGH ROLLER 50K'!$D$8:$D$38,$C47)</f>
        <v>0</v>
      </c>
      <c r="P47" s="8">
        <f>SUMIFS('OMAHA DEALER´S CHOICE'!$C$8:$C$30,'OMAHA DEALER´S CHOICE'!$D$8:$D$30,$C47)</f>
        <v>10</v>
      </c>
    </row>
    <row r="48" spans="1:16">
      <c r="A48" s="4">
        <f t="shared" si="0"/>
        <v>44</v>
      </c>
      <c r="B48" s="5" t="s">
        <v>33</v>
      </c>
      <c r="C48" s="6" t="s">
        <v>34</v>
      </c>
      <c r="D48" s="7">
        <f t="shared" si="1"/>
        <v>778</v>
      </c>
      <c r="E48" s="4">
        <f>COUNTIF('200K OMAHA 5 K.O'!$D$8:$D$37,$C48)+COUNTIF(HORSE!$D$8:$D$26,$C48)+COUNTIF('SUPER K.O'!$D$8:$D$41,$C48)+COUNTIF('8 GAME'!$D$8:$D$21,$C48)+COUNTIF('100K OMAHA MYSTERY BOUNTY'!$D$8:$D$32,$C48)+COUNTIF('CHAMPIONSHIP HIGH ROLLER 200K'!$D$8:$D$72,$C48)+COUNTIF('PLO-NLH DEALER´S CHOICE PIJAMA'!$D$8:$D$27,$C48)+COUNTIF('Main Event SPT - Dia Final'!$D$8:$D$221,$C48)+COUNTIF('SECOND CHANCE'!$D$8:$D$86,$C48)+COUNTIF('HIGH ROLLER 50K'!$D$8:$D$38,$C48)+COUNTIF('OMAHA DEALER´S CHOICE'!$D$8:$D$30,$C48)</f>
        <v>6</v>
      </c>
      <c r="F48" s="8">
        <f>SUMIFS('200K OMAHA 5 K.O'!$C$8:$C$37,'200K OMAHA 5 K.O'!$D$8:$D$37,$C48)</f>
        <v>300</v>
      </c>
      <c r="G48" s="8">
        <f>SUMIFS(HORSE!$C$8:$C$26,HORSE!$D$8:$D$26,$C48)</f>
        <v>10</v>
      </c>
      <c r="H48" s="8">
        <f>SUMIFS('SUPER K.O'!$C$8:$C$41,'SUPER K.O'!$D$8:$D$41,$C48)</f>
        <v>0</v>
      </c>
      <c r="I48" s="8">
        <f>SUMIFS('8 GAME'!$C$8:$C$21,'8 GAME'!$D$8:$D$21,$C48)</f>
        <v>0</v>
      </c>
      <c r="J48" s="8">
        <f>SUMIFS('100K OMAHA MYSTERY BOUNTY'!$C$8:$C$32,'100K OMAHA MYSTERY BOUNTY'!$D$8:$D$32,$C48)</f>
        <v>10</v>
      </c>
      <c r="K48" s="8">
        <f>SUMIFS('CHAMPIONSHIP HIGH ROLLER 200K'!$C$8:$C$72,'CHAMPIONSHIP HIGH ROLLER 200K'!$D$8:$D$72,$C48)</f>
        <v>10</v>
      </c>
      <c r="L48" s="8">
        <f>SUMIFS('PLO-NLH DEALER´S CHOICE PIJAMA'!$C$8:$C$27,'PLO-NLH DEALER´S CHOICE PIJAMA'!$D$8:$D$27,$C48)</f>
        <v>0</v>
      </c>
      <c r="M48" s="8">
        <f>SUMIFS('Main Event SPT - Dia Final'!$C$8:$C$221,'Main Event SPT - Dia Final'!$D$8:$D$221,$C48)</f>
        <v>10</v>
      </c>
      <c r="N48" s="8">
        <f>SUMIFS('SECOND CHANCE'!$C$8:$C$86,'SECOND CHANCE'!$D$8:$D$86,$C48)</f>
        <v>0</v>
      </c>
      <c r="O48" s="8">
        <f>SUMIFS('HIGH ROLLER 50K'!$C$8:$C$38,'HIGH ROLLER 50K'!$D$8:$D$38,$C48)</f>
        <v>0</v>
      </c>
      <c r="P48" s="8">
        <f>SUMIFS('OMAHA DEALER´S CHOICE'!$C$8:$C$30,'OMAHA DEALER´S CHOICE'!$D$8:$D$30,$C48)</f>
        <v>438</v>
      </c>
    </row>
    <row r="49" spans="1:16">
      <c r="A49" s="4">
        <f t="shared" si="0"/>
        <v>45</v>
      </c>
      <c r="B49" s="5" t="s">
        <v>206</v>
      </c>
      <c r="C49" s="6" t="s">
        <v>207</v>
      </c>
      <c r="D49" s="7">
        <f t="shared" si="1"/>
        <v>766</v>
      </c>
      <c r="E49" s="4">
        <f>COUNTIF('200K OMAHA 5 K.O'!$D$8:$D$37,$C49)+COUNTIF(HORSE!$D$8:$D$26,$C49)+COUNTIF('SUPER K.O'!$D$8:$D$41,$C49)+COUNTIF('8 GAME'!$D$8:$D$21,$C49)+COUNTIF('100K OMAHA MYSTERY BOUNTY'!$D$8:$D$32,$C49)+COUNTIF('CHAMPIONSHIP HIGH ROLLER 200K'!$D$8:$D$72,$C49)+COUNTIF('PLO-NLH DEALER´S CHOICE PIJAMA'!$D$8:$D$27,$C49)+COUNTIF('Main Event SPT - Dia Final'!$D$8:$D$221,$C49)+COUNTIF('SECOND CHANCE'!$D$8:$D$86,$C49)+COUNTIF('HIGH ROLLER 50K'!$D$8:$D$38,$C49)+COUNTIF('OMAHA DEALER´S CHOICE'!$D$8:$D$30,$C49)</f>
        <v>2</v>
      </c>
      <c r="F49" s="8">
        <f>SUMIFS('200K OMAHA 5 K.O'!$C$8:$C$37,'200K OMAHA 5 K.O'!$D$8:$D$37,$C49)</f>
        <v>0</v>
      </c>
      <c r="G49" s="8">
        <f>SUMIFS(HORSE!$C$8:$C$26,HORSE!$D$8:$D$26,$C49)</f>
        <v>0</v>
      </c>
      <c r="H49" s="8">
        <f>SUMIFS('SUPER K.O'!$C$8:$C$41,'SUPER K.O'!$D$8:$D$41,$C49)</f>
        <v>0</v>
      </c>
      <c r="I49" s="8">
        <f>SUMIFS('8 GAME'!$C$8:$C$21,'8 GAME'!$D$8:$D$21,$C49)</f>
        <v>0</v>
      </c>
      <c r="J49" s="8">
        <f>SUMIFS('100K OMAHA MYSTERY BOUNTY'!$C$8:$C$32,'100K OMAHA MYSTERY BOUNTY'!$D$8:$D$32,$C49)</f>
        <v>0</v>
      </c>
      <c r="K49" s="8">
        <f>SUMIFS('CHAMPIONSHIP HIGH ROLLER 200K'!$C$8:$C$72,'CHAMPIONSHIP HIGH ROLLER 200K'!$D$8:$D$72,$C49)</f>
        <v>10</v>
      </c>
      <c r="L49" s="8">
        <f>SUMIFS('PLO-NLH DEALER´S CHOICE PIJAMA'!$C$8:$C$27,'PLO-NLH DEALER´S CHOICE PIJAMA'!$D$8:$D$27,$C49)</f>
        <v>0</v>
      </c>
      <c r="M49" s="8">
        <f>SUMIFS('Main Event SPT - Dia Final'!$C$8:$C$221,'Main Event SPT - Dia Final'!$D$8:$D$221,$C49)</f>
        <v>756</v>
      </c>
      <c r="N49" s="8">
        <f>SUMIFS('SECOND CHANCE'!$C$8:$C$86,'SECOND CHANCE'!$D$8:$D$86,$C49)</f>
        <v>0</v>
      </c>
      <c r="O49" s="8">
        <f>SUMIFS('HIGH ROLLER 50K'!$C$8:$C$38,'HIGH ROLLER 50K'!$D$8:$D$38,$C49)</f>
        <v>0</v>
      </c>
      <c r="P49" s="8">
        <f>SUMIFS('OMAHA DEALER´S CHOICE'!$C$8:$C$30,'OMAHA DEALER´S CHOICE'!$D$8:$D$30,$C49)</f>
        <v>0</v>
      </c>
    </row>
    <row r="50" spans="1:16">
      <c r="A50" s="4">
        <f t="shared" si="0"/>
        <v>45</v>
      </c>
      <c r="B50" s="5" t="s">
        <v>240</v>
      </c>
      <c r="C50" s="6" t="s">
        <v>241</v>
      </c>
      <c r="D50" s="7">
        <f t="shared" si="1"/>
        <v>766</v>
      </c>
      <c r="E50" s="4">
        <f>COUNTIF('200K OMAHA 5 K.O'!$D$8:$D$37,$C50)+COUNTIF(HORSE!$D$8:$D$26,$C50)+COUNTIF('SUPER K.O'!$D$8:$D$41,$C50)+COUNTIF('8 GAME'!$D$8:$D$21,$C50)+COUNTIF('100K OMAHA MYSTERY BOUNTY'!$D$8:$D$32,$C50)+COUNTIF('CHAMPIONSHIP HIGH ROLLER 200K'!$D$8:$D$72,$C50)+COUNTIF('PLO-NLH DEALER´S CHOICE PIJAMA'!$D$8:$D$27,$C50)+COUNTIF('Main Event SPT - Dia Final'!$D$8:$D$221,$C50)+COUNTIF('SECOND CHANCE'!$D$8:$D$86,$C50)+COUNTIF('HIGH ROLLER 50K'!$D$8:$D$38,$C50)+COUNTIF('OMAHA DEALER´S CHOICE'!$D$8:$D$30,$C50)</f>
        <v>2</v>
      </c>
      <c r="F50" s="8">
        <f>SUMIFS('200K OMAHA 5 K.O'!$C$8:$C$37,'200K OMAHA 5 K.O'!$D$8:$D$37,$C50)</f>
        <v>0</v>
      </c>
      <c r="G50" s="8">
        <f>SUMIFS(HORSE!$C$8:$C$26,HORSE!$D$8:$D$26,$C50)</f>
        <v>0</v>
      </c>
      <c r="H50" s="8">
        <f>SUMIFS('SUPER K.O'!$C$8:$C$41,'SUPER K.O'!$D$8:$D$41,$C50)</f>
        <v>0</v>
      </c>
      <c r="I50" s="8">
        <f>SUMIFS('8 GAME'!$C$8:$C$21,'8 GAME'!$D$8:$D$21,$C50)</f>
        <v>0</v>
      </c>
      <c r="J50" s="8">
        <f>SUMIFS('100K OMAHA MYSTERY BOUNTY'!$C$8:$C$32,'100K OMAHA MYSTERY BOUNTY'!$D$8:$D$32,$C50)</f>
        <v>0</v>
      </c>
      <c r="K50" s="8">
        <f>SUMIFS('CHAMPIONSHIP HIGH ROLLER 200K'!$C$8:$C$72,'CHAMPIONSHIP HIGH ROLLER 200K'!$D$8:$D$72,$C50)</f>
        <v>10</v>
      </c>
      <c r="L50" s="8">
        <f>SUMIFS('PLO-NLH DEALER´S CHOICE PIJAMA'!$C$8:$C$27,'PLO-NLH DEALER´S CHOICE PIJAMA'!$D$8:$D$27,$C50)</f>
        <v>0</v>
      </c>
      <c r="M50" s="8">
        <f>SUMIFS('Main Event SPT - Dia Final'!$C$8:$C$221,'Main Event SPT - Dia Final'!$D$8:$D$221,$C50)</f>
        <v>756</v>
      </c>
      <c r="N50" s="8">
        <f>SUMIFS('SECOND CHANCE'!$C$8:$C$86,'SECOND CHANCE'!$D$8:$D$86,$C50)</f>
        <v>0</v>
      </c>
      <c r="O50" s="8">
        <f>SUMIFS('HIGH ROLLER 50K'!$C$8:$C$38,'HIGH ROLLER 50K'!$D$8:$D$38,$C50)</f>
        <v>0</v>
      </c>
      <c r="P50" s="8">
        <f>SUMIFS('OMAHA DEALER´S CHOICE'!$C$8:$C$30,'OMAHA DEALER´S CHOICE'!$D$8:$D$30,$C50)</f>
        <v>0</v>
      </c>
    </row>
    <row r="51" spans="1:16">
      <c r="A51" s="4">
        <f t="shared" si="0"/>
        <v>45</v>
      </c>
      <c r="B51" s="5" t="s">
        <v>281</v>
      </c>
      <c r="C51" s="6" t="s">
        <v>282</v>
      </c>
      <c r="D51" s="7">
        <f t="shared" si="1"/>
        <v>766</v>
      </c>
      <c r="E51" s="4">
        <f>COUNTIF('200K OMAHA 5 K.O'!$D$8:$D$37,$C51)+COUNTIF(HORSE!$D$8:$D$26,$C51)+COUNTIF('SUPER K.O'!$D$8:$D$41,$C51)+COUNTIF('8 GAME'!$D$8:$D$21,$C51)+COUNTIF('100K OMAHA MYSTERY BOUNTY'!$D$8:$D$32,$C51)+COUNTIF('CHAMPIONSHIP HIGH ROLLER 200K'!$D$8:$D$72,$C51)+COUNTIF('PLO-NLH DEALER´S CHOICE PIJAMA'!$D$8:$D$27,$C51)+COUNTIF('Main Event SPT - Dia Final'!$D$8:$D$221,$C51)+COUNTIF('SECOND CHANCE'!$D$8:$D$86,$C51)+COUNTIF('HIGH ROLLER 50K'!$D$8:$D$38,$C51)+COUNTIF('OMAHA DEALER´S CHOICE'!$D$8:$D$30,$C51)</f>
        <v>2</v>
      </c>
      <c r="F51" s="8">
        <f>SUMIFS('200K OMAHA 5 K.O'!$C$8:$C$37,'200K OMAHA 5 K.O'!$D$8:$D$37,$C51)</f>
        <v>0</v>
      </c>
      <c r="G51" s="8">
        <f>SUMIFS(HORSE!$C$8:$C$26,HORSE!$D$8:$D$26,$C51)</f>
        <v>0</v>
      </c>
      <c r="H51" s="8">
        <f>SUMIFS('SUPER K.O'!$C$8:$C$41,'SUPER K.O'!$D$8:$D$41,$C51)</f>
        <v>0</v>
      </c>
      <c r="I51" s="8">
        <f>SUMIFS('8 GAME'!$C$8:$C$21,'8 GAME'!$D$8:$D$21,$C51)</f>
        <v>0</v>
      </c>
      <c r="J51" s="8">
        <f>SUMIFS('100K OMAHA MYSTERY BOUNTY'!$C$8:$C$32,'100K OMAHA MYSTERY BOUNTY'!$D$8:$D$32,$C51)</f>
        <v>0</v>
      </c>
      <c r="K51" s="8">
        <f>SUMIFS('CHAMPIONSHIP HIGH ROLLER 200K'!$C$8:$C$72,'CHAMPIONSHIP HIGH ROLLER 200K'!$D$8:$D$72,$C51)</f>
        <v>0</v>
      </c>
      <c r="L51" s="8">
        <f>SUMIFS('PLO-NLH DEALER´S CHOICE PIJAMA'!$C$8:$C$27,'PLO-NLH DEALER´S CHOICE PIJAMA'!$D$8:$D$27,$C51)</f>
        <v>0</v>
      </c>
      <c r="M51" s="8">
        <f>SUMIFS('Main Event SPT - Dia Final'!$C$8:$C$221,'Main Event SPT - Dia Final'!$D$8:$D$221,$C51)</f>
        <v>756</v>
      </c>
      <c r="N51" s="8">
        <f>SUMIFS('SECOND CHANCE'!$C$8:$C$86,'SECOND CHANCE'!$D$8:$D$86,$C51)</f>
        <v>10</v>
      </c>
      <c r="O51" s="8">
        <f>SUMIFS('HIGH ROLLER 50K'!$C$8:$C$38,'HIGH ROLLER 50K'!$D$8:$D$38,$C51)</f>
        <v>0</v>
      </c>
      <c r="P51" s="8">
        <f>SUMIFS('OMAHA DEALER´S CHOICE'!$C$8:$C$30,'OMAHA DEALER´S CHOICE'!$D$8:$D$30,$C51)</f>
        <v>0</v>
      </c>
    </row>
    <row r="52" spans="1:16">
      <c r="A52" s="4">
        <f t="shared" si="0"/>
        <v>48</v>
      </c>
      <c r="B52" s="5" t="s">
        <v>31</v>
      </c>
      <c r="C52" s="6" t="s">
        <v>32</v>
      </c>
      <c r="D52" s="7">
        <f t="shared" si="1"/>
        <v>758</v>
      </c>
      <c r="E52" s="4">
        <f>COUNTIF('200K OMAHA 5 K.O'!$D$8:$D$37,$C52)+COUNTIF(HORSE!$D$8:$D$26,$C52)+COUNTIF('SUPER K.O'!$D$8:$D$41,$C52)+COUNTIF('8 GAME'!$D$8:$D$21,$C52)+COUNTIF('100K OMAHA MYSTERY BOUNTY'!$D$8:$D$32,$C52)+COUNTIF('CHAMPIONSHIP HIGH ROLLER 200K'!$D$8:$D$72,$C52)+COUNTIF('PLO-NLH DEALER´S CHOICE PIJAMA'!$D$8:$D$27,$C52)+COUNTIF('Main Event SPT - Dia Final'!$D$8:$D$221,$C52)+COUNTIF('SECOND CHANCE'!$D$8:$D$86,$C52)+COUNTIF('HIGH ROLLER 50K'!$D$8:$D$38,$C52)+COUNTIF('OMAHA DEALER´S CHOICE'!$D$8:$D$30,$C52)</f>
        <v>4</v>
      </c>
      <c r="F52" s="8">
        <f>SUMIFS('200K OMAHA 5 K.O'!$C$8:$C$37,'200K OMAHA 5 K.O'!$D$8:$D$37,$C52)</f>
        <v>360</v>
      </c>
      <c r="G52" s="8">
        <f>SUMIFS(HORSE!$C$8:$C$26,HORSE!$D$8:$D$26,$C52)</f>
        <v>0</v>
      </c>
      <c r="H52" s="8">
        <f>SUMIFS('SUPER K.O'!$C$8:$C$41,'SUPER K.O'!$D$8:$D$41,$C52)</f>
        <v>0</v>
      </c>
      <c r="I52" s="8">
        <f>SUMIFS('8 GAME'!$C$8:$C$21,'8 GAME'!$D$8:$D$21,$C52)</f>
        <v>0</v>
      </c>
      <c r="J52" s="8">
        <f>SUMIFS('100K OMAHA MYSTERY BOUNTY'!$C$8:$C$32,'100K OMAHA MYSTERY BOUNTY'!$D$8:$D$32,$C52)</f>
        <v>10</v>
      </c>
      <c r="K52" s="8">
        <f>SUMIFS('CHAMPIONSHIP HIGH ROLLER 200K'!$C$8:$C$72,'CHAMPIONSHIP HIGH ROLLER 200K'!$D$8:$D$72,$C52)</f>
        <v>0</v>
      </c>
      <c r="L52" s="8">
        <f>SUMIFS('PLO-NLH DEALER´S CHOICE PIJAMA'!$C$8:$C$27,'PLO-NLH DEALER´S CHOICE PIJAMA'!$D$8:$D$27,$C52)</f>
        <v>0</v>
      </c>
      <c r="M52" s="8">
        <f>SUMIFS('Main Event SPT - Dia Final'!$C$8:$C$221,'Main Event SPT - Dia Final'!$D$8:$D$221,$C52)</f>
        <v>378</v>
      </c>
      <c r="N52" s="8">
        <f>SUMIFS('SECOND CHANCE'!$C$8:$C$86,'SECOND CHANCE'!$D$8:$D$86,$C52)</f>
        <v>0</v>
      </c>
      <c r="O52" s="8">
        <f>SUMIFS('HIGH ROLLER 50K'!$C$8:$C$38,'HIGH ROLLER 50K'!$D$8:$D$38,$C52)</f>
        <v>0</v>
      </c>
      <c r="P52" s="8">
        <f>SUMIFS('OMAHA DEALER´S CHOICE'!$C$8:$C$30,'OMAHA DEALER´S CHOICE'!$D$8:$D$30,$C52)</f>
        <v>10</v>
      </c>
    </row>
    <row r="53" spans="1:16">
      <c r="A53" s="4">
        <f t="shared" si="0"/>
        <v>49</v>
      </c>
      <c r="B53" s="5" t="s">
        <v>383</v>
      </c>
      <c r="C53" s="6" t="s">
        <v>384</v>
      </c>
      <c r="D53" s="7">
        <f t="shared" si="1"/>
        <v>750</v>
      </c>
      <c r="E53" s="4">
        <f>COUNTIF('200K OMAHA 5 K.O'!$D$8:$D$37,$C53)+COUNTIF(HORSE!$D$8:$D$26,$C53)+COUNTIF('SUPER K.O'!$D$8:$D$41,$C53)+COUNTIF('8 GAME'!$D$8:$D$21,$C53)+COUNTIF('100K OMAHA MYSTERY BOUNTY'!$D$8:$D$32,$C53)+COUNTIF('CHAMPIONSHIP HIGH ROLLER 200K'!$D$8:$D$72,$C53)+COUNTIF('PLO-NLH DEALER´S CHOICE PIJAMA'!$D$8:$D$27,$C53)+COUNTIF('Main Event SPT - Dia Final'!$D$8:$D$221,$C53)+COUNTIF('SECOND CHANCE'!$D$8:$D$86,$C53)+COUNTIF('HIGH ROLLER 50K'!$D$8:$D$38,$C53)+COUNTIF('OMAHA DEALER´S CHOICE'!$D$8:$D$30,$C53)</f>
        <v>3</v>
      </c>
      <c r="F53" s="8">
        <f>SUMIFS('200K OMAHA 5 K.O'!$C$8:$C$37,'200K OMAHA 5 K.O'!$D$8:$D$37,$C53)</f>
        <v>0</v>
      </c>
      <c r="G53" s="8">
        <f>SUMIFS(HORSE!$C$8:$C$26,HORSE!$D$8:$D$26,$C53)</f>
        <v>0</v>
      </c>
      <c r="H53" s="8">
        <f>SUMIFS('SUPER K.O'!$C$8:$C$41,'SUPER K.O'!$D$8:$D$41,$C53)</f>
        <v>0</v>
      </c>
      <c r="I53" s="8">
        <f>SUMIFS('8 GAME'!$C$8:$C$21,'8 GAME'!$D$8:$D$21,$C53)</f>
        <v>0</v>
      </c>
      <c r="J53" s="8">
        <f>SUMIFS('100K OMAHA MYSTERY BOUNTY'!$C$8:$C$32,'100K OMAHA MYSTERY BOUNTY'!$D$8:$D$32,$C53)</f>
        <v>0</v>
      </c>
      <c r="K53" s="8">
        <f>SUMIFS('CHAMPIONSHIP HIGH ROLLER 200K'!$C$8:$C$72,'CHAMPIONSHIP HIGH ROLLER 200K'!$D$8:$D$72,$C53)</f>
        <v>0</v>
      </c>
      <c r="L53" s="8">
        <f>SUMIFS('PLO-NLH DEALER´S CHOICE PIJAMA'!$C$8:$C$27,'PLO-NLH DEALER´S CHOICE PIJAMA'!$D$8:$D$27,$C53)</f>
        <v>0</v>
      </c>
      <c r="M53" s="8">
        <f>SUMIFS('Main Event SPT - Dia Final'!$C$8:$C$221,'Main Event SPT - Dia Final'!$D$8:$D$221,$C53)</f>
        <v>10</v>
      </c>
      <c r="N53" s="8">
        <f>SUMIFS('SECOND CHANCE'!$C$8:$C$86,'SECOND CHANCE'!$D$8:$D$86,$C53)</f>
        <v>0</v>
      </c>
      <c r="O53" s="8">
        <f>SUMIFS('HIGH ROLLER 50K'!$C$8:$C$38,'HIGH ROLLER 50K'!$D$8:$D$38,$C53)</f>
        <v>10</v>
      </c>
      <c r="P53" s="8">
        <f>SUMIFS('OMAHA DEALER´S CHOICE'!$C$8:$C$30,'OMAHA DEALER´S CHOICE'!$D$8:$D$30,$C53)</f>
        <v>730</v>
      </c>
    </row>
    <row r="54" spans="1:16">
      <c r="A54" s="4">
        <f t="shared" si="0"/>
        <v>50</v>
      </c>
      <c r="B54" s="5" t="s">
        <v>246</v>
      </c>
      <c r="C54" s="6" t="s">
        <v>247</v>
      </c>
      <c r="D54" s="7">
        <f t="shared" si="1"/>
        <v>749</v>
      </c>
      <c r="E54" s="4">
        <f>COUNTIF('200K OMAHA 5 K.O'!$D$8:$D$37,$C54)+COUNTIF(HORSE!$D$8:$D$26,$C54)+COUNTIF('SUPER K.O'!$D$8:$D$41,$C54)+COUNTIF('8 GAME'!$D$8:$D$21,$C54)+COUNTIF('100K OMAHA MYSTERY BOUNTY'!$D$8:$D$32,$C54)+COUNTIF('CHAMPIONSHIP HIGH ROLLER 200K'!$D$8:$D$72,$C54)+COUNTIF('PLO-NLH DEALER´S CHOICE PIJAMA'!$D$8:$D$27,$C54)+COUNTIF('Main Event SPT - Dia Final'!$D$8:$D$221,$C54)+COUNTIF('SECOND CHANCE'!$D$8:$D$86,$C54)+COUNTIF('HIGH ROLLER 50K'!$D$8:$D$38,$C54)+COUNTIF('OMAHA DEALER´S CHOICE'!$D$8:$D$30,$C54)</f>
        <v>3</v>
      </c>
      <c r="F54" s="8">
        <f>SUMIFS('200K OMAHA 5 K.O'!$C$8:$C$37,'200K OMAHA 5 K.O'!$D$8:$D$37,$C54)</f>
        <v>0</v>
      </c>
      <c r="G54" s="8">
        <f>SUMIFS(HORSE!$C$8:$C$26,HORSE!$D$8:$D$26,$C54)</f>
        <v>0</v>
      </c>
      <c r="H54" s="8">
        <f>SUMIFS('SUPER K.O'!$C$8:$C$41,'SUPER K.O'!$D$8:$D$41,$C54)</f>
        <v>0</v>
      </c>
      <c r="I54" s="8">
        <f>SUMIFS('8 GAME'!$C$8:$C$21,'8 GAME'!$D$8:$D$21,$C54)</f>
        <v>0</v>
      </c>
      <c r="J54" s="8">
        <f>SUMIFS('100K OMAHA MYSTERY BOUNTY'!$C$8:$C$32,'100K OMAHA MYSTERY BOUNTY'!$D$8:$D$32,$C54)</f>
        <v>0</v>
      </c>
      <c r="K54" s="8">
        <f>SUMIFS('CHAMPIONSHIP HIGH ROLLER 200K'!$C$8:$C$72,'CHAMPIONSHIP HIGH ROLLER 200K'!$D$8:$D$72,$C54)</f>
        <v>10</v>
      </c>
      <c r="L54" s="8">
        <f>SUMIFS('PLO-NLH DEALER´S CHOICE PIJAMA'!$C$8:$C$27,'PLO-NLH DEALER´S CHOICE PIJAMA'!$D$8:$D$27,$C54)</f>
        <v>0</v>
      </c>
      <c r="M54" s="8">
        <f>SUMIFS('Main Event SPT - Dia Final'!$C$8:$C$221,'Main Event SPT - Dia Final'!$D$8:$D$221,$C54)</f>
        <v>10</v>
      </c>
      <c r="N54" s="8">
        <f>SUMIFS('SECOND CHANCE'!$C$8:$C$86,'SECOND CHANCE'!$D$8:$D$86,$C54)</f>
        <v>0</v>
      </c>
      <c r="O54" s="8">
        <f>SUMIFS('HIGH ROLLER 50K'!$C$8:$C$38,'HIGH ROLLER 50K'!$D$8:$D$38,$C54)</f>
        <v>729</v>
      </c>
      <c r="P54" s="8">
        <f>SUMIFS('OMAHA DEALER´S CHOICE'!$C$8:$C$30,'OMAHA DEALER´S CHOICE'!$D$8:$D$30,$C54)</f>
        <v>0</v>
      </c>
    </row>
    <row r="55" spans="1:16">
      <c r="A55" s="4">
        <f t="shared" si="0"/>
        <v>51</v>
      </c>
      <c r="B55" s="5" t="s">
        <v>170</v>
      </c>
      <c r="C55" s="6" t="s">
        <v>171</v>
      </c>
      <c r="D55" s="7">
        <f t="shared" si="1"/>
        <v>730</v>
      </c>
      <c r="E55" s="4">
        <f>COUNTIF('200K OMAHA 5 K.O'!$D$8:$D$37,$C55)+COUNTIF(HORSE!$D$8:$D$26,$C55)+COUNTIF('SUPER K.O'!$D$8:$D$41,$C55)+COUNTIF('8 GAME'!$D$8:$D$21,$C55)+COUNTIF('100K OMAHA MYSTERY BOUNTY'!$D$8:$D$32,$C55)+COUNTIF('CHAMPIONSHIP HIGH ROLLER 200K'!$D$8:$D$72,$C55)+COUNTIF('PLO-NLH DEALER´S CHOICE PIJAMA'!$D$8:$D$27,$C55)+COUNTIF('Main Event SPT - Dia Final'!$D$8:$D$221,$C55)+COUNTIF('SECOND CHANCE'!$D$8:$D$86,$C55)+COUNTIF('HIGH ROLLER 50K'!$D$8:$D$38,$C55)+COUNTIF('OMAHA DEALER´S CHOICE'!$D$8:$D$30,$C55)</f>
        <v>2</v>
      </c>
      <c r="F55" s="8">
        <f>SUMIFS('200K OMAHA 5 K.O'!$C$8:$C$37,'200K OMAHA 5 K.O'!$D$8:$D$37,$C55)</f>
        <v>0</v>
      </c>
      <c r="G55" s="8">
        <f>SUMIFS(HORSE!$C$8:$C$26,HORSE!$D$8:$D$26,$C55)</f>
        <v>0</v>
      </c>
      <c r="H55" s="8">
        <f>SUMIFS('SUPER K.O'!$C$8:$C$41,'SUPER K.O'!$D$8:$D$41,$C55)</f>
        <v>0</v>
      </c>
      <c r="I55" s="8">
        <f>SUMIFS('8 GAME'!$C$8:$C$21,'8 GAME'!$D$8:$D$21,$C55)</f>
        <v>0</v>
      </c>
      <c r="J55" s="8">
        <f>SUMIFS('100K OMAHA MYSTERY BOUNTY'!$C$8:$C$32,'100K OMAHA MYSTERY BOUNTY'!$D$8:$D$32,$C55)</f>
        <v>720</v>
      </c>
      <c r="K55" s="8">
        <f>SUMIFS('CHAMPIONSHIP HIGH ROLLER 200K'!$C$8:$C$72,'CHAMPIONSHIP HIGH ROLLER 200K'!$D$8:$D$72,$C55)</f>
        <v>0</v>
      </c>
      <c r="L55" s="8">
        <f>SUMIFS('PLO-NLH DEALER´S CHOICE PIJAMA'!$C$8:$C$27,'PLO-NLH DEALER´S CHOICE PIJAMA'!$D$8:$D$27,$C55)</f>
        <v>0</v>
      </c>
      <c r="M55" s="8">
        <f>SUMIFS('Main Event SPT - Dia Final'!$C$8:$C$221,'Main Event SPT - Dia Final'!$D$8:$D$221,$C55)</f>
        <v>10</v>
      </c>
      <c r="N55" s="8">
        <f>SUMIFS('SECOND CHANCE'!$C$8:$C$86,'SECOND CHANCE'!$D$8:$D$86,$C55)</f>
        <v>0</v>
      </c>
      <c r="O55" s="8">
        <f>SUMIFS('HIGH ROLLER 50K'!$C$8:$C$38,'HIGH ROLLER 50K'!$D$8:$D$38,$C55)</f>
        <v>0</v>
      </c>
      <c r="P55" s="8">
        <f>SUMIFS('OMAHA DEALER´S CHOICE'!$C$8:$C$30,'OMAHA DEALER´S CHOICE'!$D$8:$D$30,$C55)</f>
        <v>0</v>
      </c>
    </row>
    <row r="56" spans="1:16">
      <c r="A56" s="4">
        <f t="shared" si="0"/>
        <v>52</v>
      </c>
      <c r="B56" s="5" t="s">
        <v>79</v>
      </c>
      <c r="C56" s="6" t="s">
        <v>80</v>
      </c>
      <c r="D56" s="7">
        <f t="shared" si="1"/>
        <v>720</v>
      </c>
      <c r="E56" s="4">
        <f>COUNTIF('200K OMAHA 5 K.O'!$D$8:$D$37,$C56)+COUNTIF(HORSE!$D$8:$D$26,$C56)+COUNTIF('SUPER K.O'!$D$8:$D$41,$C56)+COUNTIF('8 GAME'!$D$8:$D$21,$C56)+COUNTIF('100K OMAHA MYSTERY BOUNTY'!$D$8:$D$32,$C56)+COUNTIF('CHAMPIONSHIP HIGH ROLLER 200K'!$D$8:$D$72,$C56)+COUNTIF('PLO-NLH DEALER´S CHOICE PIJAMA'!$D$8:$D$27,$C56)+COUNTIF('Main Event SPT - Dia Final'!$D$8:$D$221,$C56)+COUNTIF('SECOND CHANCE'!$D$8:$D$86,$C56)+COUNTIF('HIGH ROLLER 50K'!$D$8:$D$38,$C56)+COUNTIF('OMAHA DEALER´S CHOICE'!$D$8:$D$30,$C56)</f>
        <v>4</v>
      </c>
      <c r="F56" s="8">
        <f>SUMIFS('200K OMAHA 5 K.O'!$C$8:$C$37,'200K OMAHA 5 K.O'!$D$8:$D$37,$C56)</f>
        <v>0</v>
      </c>
      <c r="G56" s="8">
        <f>SUMIFS(HORSE!$C$8:$C$26,HORSE!$D$8:$D$26,$C56)</f>
        <v>690</v>
      </c>
      <c r="H56" s="8">
        <f>SUMIFS('SUPER K.O'!$C$8:$C$41,'SUPER K.O'!$D$8:$D$41,$C56)</f>
        <v>0</v>
      </c>
      <c r="I56" s="8">
        <f>SUMIFS('8 GAME'!$C$8:$C$21,'8 GAME'!$D$8:$D$21,$C56)</f>
        <v>10</v>
      </c>
      <c r="J56" s="8">
        <f>SUMIFS('100K OMAHA MYSTERY BOUNTY'!$C$8:$C$32,'100K OMAHA MYSTERY BOUNTY'!$D$8:$D$32,$C56)</f>
        <v>0</v>
      </c>
      <c r="K56" s="8">
        <f>SUMIFS('CHAMPIONSHIP HIGH ROLLER 200K'!$C$8:$C$72,'CHAMPIONSHIP HIGH ROLLER 200K'!$D$8:$D$72,$C56)</f>
        <v>0</v>
      </c>
      <c r="L56" s="8">
        <f>SUMIFS('PLO-NLH DEALER´S CHOICE PIJAMA'!$C$8:$C$27,'PLO-NLH DEALER´S CHOICE PIJAMA'!$D$8:$D$27,$C56)</f>
        <v>0</v>
      </c>
      <c r="M56" s="8">
        <f>SUMIFS('Main Event SPT - Dia Final'!$C$8:$C$221,'Main Event SPT - Dia Final'!$D$8:$D$221,$C56)</f>
        <v>0</v>
      </c>
      <c r="N56" s="8">
        <f>SUMIFS('SECOND CHANCE'!$C$8:$C$86,'SECOND CHANCE'!$D$8:$D$86,$C56)</f>
        <v>10</v>
      </c>
      <c r="O56" s="8">
        <f>SUMIFS('HIGH ROLLER 50K'!$C$8:$C$38,'HIGH ROLLER 50K'!$D$8:$D$38,$C56)</f>
        <v>0</v>
      </c>
      <c r="P56" s="8">
        <f>SUMIFS('OMAHA DEALER´S CHOICE'!$C$8:$C$30,'OMAHA DEALER´S CHOICE'!$D$8:$D$30,$C56)</f>
        <v>10</v>
      </c>
    </row>
    <row r="57" spans="1:16">
      <c r="A57" s="4">
        <f t="shared" si="0"/>
        <v>53</v>
      </c>
      <c r="B57" s="5" t="s">
        <v>196</v>
      </c>
      <c r="C57" s="6" t="s">
        <v>197</v>
      </c>
      <c r="D57" s="7">
        <f t="shared" si="1"/>
        <v>718.75</v>
      </c>
      <c r="E57" s="4">
        <f>COUNTIF('200K OMAHA 5 K.O'!$D$8:$D$37,$C57)+COUNTIF(HORSE!$D$8:$D$26,$C57)+COUNTIF('SUPER K.O'!$D$8:$D$41,$C57)+COUNTIF('8 GAME'!$D$8:$D$21,$C57)+COUNTIF('100K OMAHA MYSTERY BOUNTY'!$D$8:$D$32,$C57)+COUNTIF('CHAMPIONSHIP HIGH ROLLER 200K'!$D$8:$D$72,$C57)+COUNTIF('PLO-NLH DEALER´S CHOICE PIJAMA'!$D$8:$D$27,$C57)+COUNTIF('Main Event SPT - Dia Final'!$D$8:$D$221,$C57)+COUNTIF('SECOND CHANCE'!$D$8:$D$86,$C57)+COUNTIF('HIGH ROLLER 50K'!$D$8:$D$38,$C57)+COUNTIF('OMAHA DEALER´S CHOICE'!$D$8:$D$30,$C57)</f>
        <v>1</v>
      </c>
      <c r="F57" s="8">
        <f>SUMIFS('200K OMAHA 5 K.O'!$C$8:$C$37,'200K OMAHA 5 K.O'!$D$8:$D$37,$C57)</f>
        <v>0</v>
      </c>
      <c r="G57" s="8">
        <f>SUMIFS(HORSE!$C$8:$C$26,HORSE!$D$8:$D$26,$C57)</f>
        <v>0</v>
      </c>
      <c r="H57" s="8">
        <f>SUMIFS('SUPER K.O'!$C$8:$C$41,'SUPER K.O'!$D$8:$D$41,$C57)</f>
        <v>0</v>
      </c>
      <c r="I57" s="8">
        <f>SUMIFS('8 GAME'!$C$8:$C$21,'8 GAME'!$D$8:$D$21,$C57)</f>
        <v>0</v>
      </c>
      <c r="J57" s="8">
        <f>SUMIFS('100K OMAHA MYSTERY BOUNTY'!$C$8:$C$32,'100K OMAHA MYSTERY BOUNTY'!$D$8:$D$32,$C57)</f>
        <v>0</v>
      </c>
      <c r="K57" s="8">
        <f>SUMIFS('CHAMPIONSHIP HIGH ROLLER 200K'!$C$8:$C$72,'CHAMPIONSHIP HIGH ROLLER 200K'!$D$8:$D$72,$C57)</f>
        <v>718.75</v>
      </c>
      <c r="L57" s="8">
        <f>SUMIFS('PLO-NLH DEALER´S CHOICE PIJAMA'!$C$8:$C$27,'PLO-NLH DEALER´S CHOICE PIJAMA'!$D$8:$D$27,$C57)</f>
        <v>0</v>
      </c>
      <c r="M57" s="8">
        <f>SUMIFS('Main Event SPT - Dia Final'!$C$8:$C$221,'Main Event SPT - Dia Final'!$D$8:$D$221,$C57)</f>
        <v>0</v>
      </c>
      <c r="N57" s="8">
        <f>SUMIFS('SECOND CHANCE'!$C$8:$C$86,'SECOND CHANCE'!$D$8:$D$86,$C57)</f>
        <v>0</v>
      </c>
      <c r="O57" s="8">
        <f>SUMIFS('HIGH ROLLER 50K'!$C$8:$C$38,'HIGH ROLLER 50K'!$D$8:$D$38,$C57)</f>
        <v>0</v>
      </c>
      <c r="P57" s="8">
        <f>SUMIFS('OMAHA DEALER´S CHOICE'!$C$8:$C$30,'OMAHA DEALER´S CHOICE'!$D$8:$D$30,$C57)</f>
        <v>0</v>
      </c>
    </row>
    <row r="58" spans="1:16">
      <c r="A58" s="4">
        <f t="shared" si="0"/>
        <v>54</v>
      </c>
      <c r="B58" s="5" t="s">
        <v>291</v>
      </c>
      <c r="C58" s="6" t="s">
        <v>292</v>
      </c>
      <c r="D58" s="7">
        <f t="shared" si="1"/>
        <v>700.5</v>
      </c>
      <c r="E58" s="4">
        <f>COUNTIF('200K OMAHA 5 K.O'!$D$8:$D$37,$C58)+COUNTIF(HORSE!$D$8:$D$26,$C58)+COUNTIF('SUPER K.O'!$D$8:$D$41,$C58)+COUNTIF('8 GAME'!$D$8:$D$21,$C58)+COUNTIF('100K OMAHA MYSTERY BOUNTY'!$D$8:$D$32,$C58)+COUNTIF('CHAMPIONSHIP HIGH ROLLER 200K'!$D$8:$D$72,$C58)+COUNTIF('PLO-NLH DEALER´S CHOICE PIJAMA'!$D$8:$D$27,$C58)+COUNTIF('Main Event SPT - Dia Final'!$D$8:$D$221,$C58)+COUNTIF('SECOND CHANCE'!$D$8:$D$86,$C58)+COUNTIF('HIGH ROLLER 50K'!$D$8:$D$38,$C58)+COUNTIF('OMAHA DEALER´S CHOICE'!$D$8:$D$30,$C58)</f>
        <v>2</v>
      </c>
      <c r="F58" s="8">
        <f>SUMIFS('200K OMAHA 5 K.O'!$C$8:$C$37,'200K OMAHA 5 K.O'!$D$8:$D$37,$C58)</f>
        <v>0</v>
      </c>
      <c r="G58" s="8">
        <f>SUMIFS(HORSE!$C$8:$C$26,HORSE!$D$8:$D$26,$C58)</f>
        <v>0</v>
      </c>
      <c r="H58" s="8">
        <f>SUMIFS('SUPER K.O'!$C$8:$C$41,'SUPER K.O'!$D$8:$D$41,$C58)</f>
        <v>0</v>
      </c>
      <c r="I58" s="8">
        <f>SUMIFS('8 GAME'!$C$8:$C$21,'8 GAME'!$D$8:$D$21,$C58)</f>
        <v>0</v>
      </c>
      <c r="J58" s="8">
        <f>SUMIFS('100K OMAHA MYSTERY BOUNTY'!$C$8:$C$32,'100K OMAHA MYSTERY BOUNTY'!$D$8:$D$32,$C58)</f>
        <v>0</v>
      </c>
      <c r="K58" s="8">
        <f>SUMIFS('CHAMPIONSHIP HIGH ROLLER 200K'!$C$8:$C$72,'CHAMPIONSHIP HIGH ROLLER 200K'!$D$8:$D$72,$C58)</f>
        <v>0</v>
      </c>
      <c r="L58" s="8">
        <f>SUMIFS('PLO-NLH DEALER´S CHOICE PIJAMA'!$C$8:$C$27,'PLO-NLH DEALER´S CHOICE PIJAMA'!$D$8:$D$27,$C58)</f>
        <v>0</v>
      </c>
      <c r="M58" s="8">
        <f>SUMIFS('Main Event SPT - Dia Final'!$C$8:$C$221,'Main Event SPT - Dia Final'!$D$8:$D$221,$C58)</f>
        <v>378</v>
      </c>
      <c r="N58" s="8">
        <f>SUMIFS('SECOND CHANCE'!$C$8:$C$86,'SECOND CHANCE'!$D$8:$D$86,$C58)</f>
        <v>322.5</v>
      </c>
      <c r="O58" s="8">
        <f>SUMIFS('HIGH ROLLER 50K'!$C$8:$C$38,'HIGH ROLLER 50K'!$D$8:$D$38,$C58)</f>
        <v>0</v>
      </c>
      <c r="P58" s="8">
        <f>SUMIFS('OMAHA DEALER´S CHOICE'!$C$8:$C$30,'OMAHA DEALER´S CHOICE'!$D$8:$D$30,$C58)</f>
        <v>0</v>
      </c>
    </row>
    <row r="59" spans="1:16">
      <c r="A59" s="4">
        <f t="shared" si="0"/>
        <v>55</v>
      </c>
      <c r="B59" s="5" t="s">
        <v>113</v>
      </c>
      <c r="C59" s="6" t="s">
        <v>114</v>
      </c>
      <c r="D59" s="7">
        <f t="shared" si="1"/>
        <v>682</v>
      </c>
      <c r="E59" s="4">
        <f>COUNTIF('200K OMAHA 5 K.O'!$D$8:$D$37,$C59)+COUNTIF(HORSE!$D$8:$D$26,$C59)+COUNTIF('SUPER K.O'!$D$8:$D$41,$C59)+COUNTIF('8 GAME'!$D$8:$D$21,$C59)+COUNTIF('100K OMAHA MYSTERY BOUNTY'!$D$8:$D$32,$C59)+COUNTIF('CHAMPIONSHIP HIGH ROLLER 200K'!$D$8:$D$72,$C59)+COUNTIF('PLO-NLH DEALER´S CHOICE PIJAMA'!$D$8:$D$27,$C59)+COUNTIF('Main Event SPT - Dia Final'!$D$8:$D$221,$C59)+COUNTIF('SECOND CHANCE'!$D$8:$D$86,$C59)+COUNTIF('HIGH ROLLER 50K'!$D$8:$D$38,$C59)+COUNTIF('OMAHA DEALER´S CHOICE'!$D$8:$D$30,$C59)</f>
        <v>2</v>
      </c>
      <c r="F59" s="8">
        <f>SUMIFS('200K OMAHA 5 K.O'!$C$8:$C$37,'200K OMAHA 5 K.O'!$D$8:$D$37,$C59)</f>
        <v>0</v>
      </c>
      <c r="G59" s="8">
        <f>SUMIFS(HORSE!$C$8:$C$26,HORSE!$D$8:$D$26,$C59)</f>
        <v>0</v>
      </c>
      <c r="H59" s="8">
        <f>SUMIFS('SUPER K.O'!$C$8:$C$41,'SUPER K.O'!$D$8:$D$41,$C59)</f>
        <v>672</v>
      </c>
      <c r="I59" s="8">
        <f>SUMIFS('8 GAME'!$C$8:$C$21,'8 GAME'!$D$8:$D$21,$C59)</f>
        <v>0</v>
      </c>
      <c r="J59" s="8">
        <f>SUMIFS('100K OMAHA MYSTERY BOUNTY'!$C$8:$C$32,'100K OMAHA MYSTERY BOUNTY'!$D$8:$D$32,$C59)</f>
        <v>0</v>
      </c>
      <c r="K59" s="8">
        <f>SUMIFS('CHAMPIONSHIP HIGH ROLLER 200K'!$C$8:$C$72,'CHAMPIONSHIP HIGH ROLLER 200K'!$D$8:$D$72,$C59)</f>
        <v>0</v>
      </c>
      <c r="L59" s="8">
        <f>SUMIFS('PLO-NLH DEALER´S CHOICE PIJAMA'!$C$8:$C$27,'PLO-NLH DEALER´S CHOICE PIJAMA'!$D$8:$D$27,$C59)</f>
        <v>0</v>
      </c>
      <c r="M59" s="8">
        <f>SUMIFS('Main Event SPT - Dia Final'!$C$8:$C$221,'Main Event SPT - Dia Final'!$D$8:$D$221,$C59)</f>
        <v>10</v>
      </c>
      <c r="N59" s="8">
        <f>SUMIFS('SECOND CHANCE'!$C$8:$C$86,'SECOND CHANCE'!$D$8:$D$86,$C59)</f>
        <v>0</v>
      </c>
      <c r="O59" s="8">
        <f>SUMIFS('HIGH ROLLER 50K'!$C$8:$C$38,'HIGH ROLLER 50K'!$D$8:$D$38,$C59)</f>
        <v>0</v>
      </c>
      <c r="P59" s="8">
        <f>SUMIFS('OMAHA DEALER´S CHOICE'!$C$8:$C$30,'OMAHA DEALER´S CHOICE'!$D$8:$D$30,$C59)</f>
        <v>0</v>
      </c>
    </row>
    <row r="60" spans="1:16">
      <c r="A60" s="4">
        <f t="shared" si="0"/>
        <v>56</v>
      </c>
      <c r="B60" s="5" t="s">
        <v>222</v>
      </c>
      <c r="C60" s="6" t="s">
        <v>223</v>
      </c>
      <c r="D60" s="7">
        <f t="shared" si="1"/>
        <v>680</v>
      </c>
      <c r="E60" s="4">
        <f>COUNTIF('200K OMAHA 5 K.O'!$D$8:$D$37,$C60)+COUNTIF(HORSE!$D$8:$D$26,$C60)+COUNTIF('SUPER K.O'!$D$8:$D$41,$C60)+COUNTIF('8 GAME'!$D$8:$D$21,$C60)+COUNTIF('100K OMAHA MYSTERY BOUNTY'!$D$8:$D$32,$C60)+COUNTIF('CHAMPIONSHIP HIGH ROLLER 200K'!$D$8:$D$72,$C60)+COUNTIF('PLO-NLH DEALER´S CHOICE PIJAMA'!$D$8:$D$27,$C60)+COUNTIF('Main Event SPT - Dia Final'!$D$8:$D$221,$C60)+COUNTIF('SECOND CHANCE'!$D$8:$D$86,$C60)+COUNTIF('HIGH ROLLER 50K'!$D$8:$D$38,$C60)+COUNTIF('OMAHA DEALER´S CHOICE'!$D$8:$D$30,$C60)</f>
        <v>3</v>
      </c>
      <c r="F60" s="8">
        <f>SUMIFS('200K OMAHA 5 K.O'!$C$8:$C$37,'200K OMAHA 5 K.O'!$D$8:$D$37,$C60)</f>
        <v>0</v>
      </c>
      <c r="G60" s="8">
        <f>SUMIFS(HORSE!$C$8:$C$26,HORSE!$D$8:$D$26,$C60)</f>
        <v>0</v>
      </c>
      <c r="H60" s="8">
        <f>SUMIFS('SUPER K.O'!$C$8:$C$41,'SUPER K.O'!$D$8:$D$41,$C60)</f>
        <v>0</v>
      </c>
      <c r="I60" s="8">
        <f>SUMIFS('8 GAME'!$C$8:$C$21,'8 GAME'!$D$8:$D$21,$C60)</f>
        <v>0</v>
      </c>
      <c r="J60" s="8">
        <f>SUMIFS('100K OMAHA MYSTERY BOUNTY'!$C$8:$C$32,'100K OMAHA MYSTERY BOUNTY'!$D$8:$D$32,$C60)</f>
        <v>0</v>
      </c>
      <c r="K60" s="8">
        <f>SUMIFS('CHAMPIONSHIP HIGH ROLLER 200K'!$C$8:$C$72,'CHAMPIONSHIP HIGH ROLLER 200K'!$D$8:$D$72,$C60)</f>
        <v>10</v>
      </c>
      <c r="L60" s="8">
        <f>SUMIFS('PLO-NLH DEALER´S CHOICE PIJAMA'!$C$8:$C$27,'PLO-NLH DEALER´S CHOICE PIJAMA'!$D$8:$D$27,$C60)</f>
        <v>0</v>
      </c>
      <c r="M60" s="8">
        <f>SUMIFS('Main Event SPT - Dia Final'!$C$8:$C$221,'Main Event SPT - Dia Final'!$D$8:$D$221,$C60)</f>
        <v>378</v>
      </c>
      <c r="N60" s="8">
        <f>SUMIFS('SECOND CHANCE'!$C$8:$C$86,'SECOND CHANCE'!$D$8:$D$86,$C60)</f>
        <v>0</v>
      </c>
      <c r="O60" s="8">
        <f>SUMIFS('HIGH ROLLER 50K'!$C$8:$C$38,'HIGH ROLLER 50K'!$D$8:$D$38,$C60)</f>
        <v>0</v>
      </c>
      <c r="P60" s="8">
        <f>SUMIFS('OMAHA DEALER´S CHOICE'!$C$8:$C$30,'OMAHA DEALER´S CHOICE'!$D$8:$D$30,$C60)</f>
        <v>292</v>
      </c>
    </row>
    <row r="61" spans="1:16">
      <c r="A61" s="4">
        <f t="shared" si="0"/>
        <v>57</v>
      </c>
      <c r="B61" s="5" t="s">
        <v>51</v>
      </c>
      <c r="C61" s="6" t="s">
        <v>52</v>
      </c>
      <c r="D61" s="7">
        <f t="shared" si="1"/>
        <v>614</v>
      </c>
      <c r="E61" s="4">
        <f>COUNTIF('200K OMAHA 5 K.O'!$D$8:$D$37,$C61)+COUNTIF(HORSE!$D$8:$D$26,$C61)+COUNTIF('SUPER K.O'!$D$8:$D$41,$C61)+COUNTIF('8 GAME'!$D$8:$D$21,$C61)+COUNTIF('100K OMAHA MYSTERY BOUNTY'!$D$8:$D$32,$C61)+COUNTIF('CHAMPIONSHIP HIGH ROLLER 200K'!$D$8:$D$72,$C61)+COUNTIF('PLO-NLH DEALER´S CHOICE PIJAMA'!$D$8:$D$27,$C61)+COUNTIF('Main Event SPT - Dia Final'!$D$8:$D$221,$C61)+COUNTIF('SECOND CHANCE'!$D$8:$D$86,$C61)+COUNTIF('HIGH ROLLER 50K'!$D$8:$D$38,$C61)+COUNTIF('OMAHA DEALER´S CHOICE'!$D$8:$D$30,$C61)</f>
        <v>4</v>
      </c>
      <c r="F61" s="8">
        <f>SUMIFS('200K OMAHA 5 K.O'!$C$8:$C$37,'200K OMAHA 5 K.O'!$D$8:$D$37,$C61)</f>
        <v>10</v>
      </c>
      <c r="G61" s="8">
        <f>SUMIFS(HORSE!$C$8:$C$26,HORSE!$D$8:$D$26,$C61)</f>
        <v>0</v>
      </c>
      <c r="H61" s="8">
        <f>SUMIFS('SUPER K.O'!$C$8:$C$41,'SUPER K.O'!$D$8:$D$41,$C61)</f>
        <v>0</v>
      </c>
      <c r="I61" s="8">
        <f>SUMIFS('8 GAME'!$C$8:$C$21,'8 GAME'!$D$8:$D$21,$C61)</f>
        <v>0</v>
      </c>
      <c r="J61" s="8">
        <f>SUMIFS('100K OMAHA MYSTERY BOUNTY'!$C$8:$C$32,'100K OMAHA MYSTERY BOUNTY'!$D$8:$D$32,$C61)</f>
        <v>0</v>
      </c>
      <c r="K61" s="8">
        <f>SUMIFS('CHAMPIONSHIP HIGH ROLLER 200K'!$C$8:$C$72,'CHAMPIONSHIP HIGH ROLLER 200K'!$D$8:$D$72,$C61)</f>
        <v>0</v>
      </c>
      <c r="L61" s="8">
        <f>SUMIFS('PLO-NLH DEALER´S CHOICE PIJAMA'!$C$8:$C$27,'PLO-NLH DEALER´S CHOICE PIJAMA'!$D$8:$D$27,$C61)</f>
        <v>0</v>
      </c>
      <c r="M61" s="8">
        <f>SUMIFS('Main Event SPT - Dia Final'!$C$8:$C$221,'Main Event SPT - Dia Final'!$D$8:$D$221,$C61)</f>
        <v>10</v>
      </c>
      <c r="N61" s="8">
        <f>SUMIFS('SECOND CHANCE'!$C$8:$C$86,'SECOND CHANCE'!$D$8:$D$86,$C61)</f>
        <v>10</v>
      </c>
      <c r="O61" s="8">
        <f>SUMIFS('HIGH ROLLER 50K'!$C$8:$C$38,'HIGH ROLLER 50K'!$D$8:$D$38,$C61)</f>
        <v>0</v>
      </c>
      <c r="P61" s="8">
        <f>SUMIFS('OMAHA DEALER´S CHOICE'!$C$8:$C$30,'OMAHA DEALER´S CHOICE'!$D$8:$D$30,$C61)</f>
        <v>584</v>
      </c>
    </row>
    <row r="62" spans="1:16">
      <c r="A62" s="4">
        <f t="shared" si="0"/>
        <v>58</v>
      </c>
      <c r="B62" s="5" t="s">
        <v>23</v>
      </c>
      <c r="C62" s="6" t="s">
        <v>24</v>
      </c>
      <c r="D62" s="7">
        <f t="shared" si="1"/>
        <v>600</v>
      </c>
      <c r="E62" s="4">
        <f>COUNTIF('200K OMAHA 5 K.O'!$D$8:$D$37,$C62)+COUNTIF(HORSE!$D$8:$D$26,$C62)+COUNTIF('SUPER K.O'!$D$8:$D$41,$C62)+COUNTIF('8 GAME'!$D$8:$D$21,$C62)+COUNTIF('100K OMAHA MYSTERY BOUNTY'!$D$8:$D$32,$C62)+COUNTIF('CHAMPIONSHIP HIGH ROLLER 200K'!$D$8:$D$72,$C62)+COUNTIF('PLO-NLH DEALER´S CHOICE PIJAMA'!$D$8:$D$27,$C62)+COUNTIF('Main Event SPT - Dia Final'!$D$8:$D$221,$C62)+COUNTIF('SECOND CHANCE'!$D$8:$D$86,$C62)+COUNTIF('HIGH ROLLER 50K'!$D$8:$D$38,$C62)+COUNTIF('OMAHA DEALER´S CHOICE'!$D$8:$D$30,$C62)</f>
        <v>1</v>
      </c>
      <c r="F62" s="8">
        <f>SUMIFS('200K OMAHA 5 K.O'!$C$8:$C$37,'200K OMAHA 5 K.O'!$D$8:$D$37,$C62)</f>
        <v>600</v>
      </c>
      <c r="G62" s="8">
        <f>SUMIFS(HORSE!$C$8:$C$26,HORSE!$D$8:$D$26,$C62)</f>
        <v>0</v>
      </c>
      <c r="H62" s="8">
        <f>SUMIFS('SUPER K.O'!$C$8:$C$41,'SUPER K.O'!$D$8:$D$41,$C62)</f>
        <v>0</v>
      </c>
      <c r="I62" s="8">
        <f>SUMIFS('8 GAME'!$C$8:$C$21,'8 GAME'!$D$8:$D$21,$C62)</f>
        <v>0</v>
      </c>
      <c r="J62" s="8">
        <f>SUMIFS('100K OMAHA MYSTERY BOUNTY'!$C$8:$C$32,'100K OMAHA MYSTERY BOUNTY'!$D$8:$D$32,$C62)</f>
        <v>0</v>
      </c>
      <c r="K62" s="8">
        <f>SUMIFS('CHAMPIONSHIP HIGH ROLLER 200K'!$C$8:$C$72,'CHAMPIONSHIP HIGH ROLLER 200K'!$D$8:$D$72,$C62)</f>
        <v>0</v>
      </c>
      <c r="L62" s="8">
        <f>SUMIFS('PLO-NLH DEALER´S CHOICE PIJAMA'!$C$8:$C$27,'PLO-NLH DEALER´S CHOICE PIJAMA'!$D$8:$D$27,$C62)</f>
        <v>0</v>
      </c>
      <c r="M62" s="8">
        <f>SUMIFS('Main Event SPT - Dia Final'!$C$8:$C$221,'Main Event SPT - Dia Final'!$D$8:$D$221,$C62)</f>
        <v>0</v>
      </c>
      <c r="N62" s="8">
        <f>SUMIFS('SECOND CHANCE'!$C$8:$C$86,'SECOND CHANCE'!$D$8:$D$86,$C62)</f>
        <v>0</v>
      </c>
      <c r="O62" s="8">
        <f>SUMIFS('HIGH ROLLER 50K'!$C$8:$C$38,'HIGH ROLLER 50K'!$D$8:$D$38,$C62)</f>
        <v>0</v>
      </c>
      <c r="P62" s="8">
        <f>SUMIFS('OMAHA DEALER´S CHOICE'!$C$8:$C$30,'OMAHA DEALER´S CHOICE'!$D$8:$D$30,$C62)</f>
        <v>0</v>
      </c>
    </row>
    <row r="63" spans="1:16">
      <c r="A63" s="4">
        <f t="shared" si="0"/>
        <v>59</v>
      </c>
      <c r="B63" s="5" t="s">
        <v>417</v>
      </c>
      <c r="C63" s="6" t="s">
        <v>418</v>
      </c>
      <c r="D63" s="7">
        <f t="shared" si="1"/>
        <v>590.5</v>
      </c>
      <c r="E63" s="4">
        <f>COUNTIF('200K OMAHA 5 K.O'!$D$8:$D$37,$C63)+COUNTIF(HORSE!$D$8:$D$26,$C63)+COUNTIF('SUPER K.O'!$D$8:$D$41,$C63)+COUNTIF('8 GAME'!$D$8:$D$21,$C63)+COUNTIF('100K OMAHA MYSTERY BOUNTY'!$D$8:$D$32,$C63)+COUNTIF('CHAMPIONSHIP HIGH ROLLER 200K'!$D$8:$D$72,$C63)+COUNTIF('PLO-NLH DEALER´S CHOICE PIJAMA'!$D$8:$D$27,$C63)+COUNTIF('Main Event SPT - Dia Final'!$D$8:$D$221,$C63)+COUNTIF('SECOND CHANCE'!$D$8:$D$86,$C63)+COUNTIF('HIGH ROLLER 50K'!$D$8:$D$38,$C63)+COUNTIF('OMAHA DEALER´S CHOICE'!$D$8:$D$30,$C63)</f>
        <v>2</v>
      </c>
      <c r="F63" s="8">
        <f>SUMIFS('200K OMAHA 5 K.O'!$C$8:$C$37,'200K OMAHA 5 K.O'!$D$8:$D$37,$C63)</f>
        <v>0</v>
      </c>
      <c r="G63" s="8">
        <f>SUMIFS(HORSE!$C$8:$C$26,HORSE!$D$8:$D$26,$C63)</f>
        <v>0</v>
      </c>
      <c r="H63" s="8">
        <f>SUMIFS('SUPER K.O'!$C$8:$C$41,'SUPER K.O'!$D$8:$D$41,$C63)</f>
        <v>0</v>
      </c>
      <c r="I63" s="8">
        <f>SUMIFS('8 GAME'!$C$8:$C$21,'8 GAME'!$D$8:$D$21,$C63)</f>
        <v>0</v>
      </c>
      <c r="J63" s="8">
        <f>SUMIFS('100K OMAHA MYSTERY BOUNTY'!$C$8:$C$32,'100K OMAHA MYSTERY BOUNTY'!$D$8:$D$32,$C63)</f>
        <v>0</v>
      </c>
      <c r="K63" s="8">
        <f>SUMIFS('CHAMPIONSHIP HIGH ROLLER 200K'!$C$8:$C$72,'CHAMPIONSHIP HIGH ROLLER 200K'!$D$8:$D$72,$C63)</f>
        <v>0</v>
      </c>
      <c r="L63" s="8">
        <f>SUMIFS('PLO-NLH DEALER´S CHOICE PIJAMA'!$C$8:$C$27,'PLO-NLH DEALER´S CHOICE PIJAMA'!$D$8:$D$27,$C63)</f>
        <v>0</v>
      </c>
      <c r="M63" s="8">
        <f>SUMIFS('Main Event SPT - Dia Final'!$C$8:$C$221,'Main Event SPT - Dia Final'!$D$8:$D$221,$C63)</f>
        <v>10</v>
      </c>
      <c r="N63" s="8">
        <f>SUMIFS('SECOND CHANCE'!$C$8:$C$86,'SECOND CHANCE'!$D$8:$D$86,$C63)</f>
        <v>580.5</v>
      </c>
      <c r="O63" s="8">
        <f>SUMIFS('HIGH ROLLER 50K'!$C$8:$C$38,'HIGH ROLLER 50K'!$D$8:$D$38,$C63)</f>
        <v>0</v>
      </c>
      <c r="P63" s="8">
        <f>SUMIFS('OMAHA DEALER´S CHOICE'!$C$8:$C$30,'OMAHA DEALER´S CHOICE'!$D$8:$D$30,$C63)</f>
        <v>0</v>
      </c>
    </row>
    <row r="64" spans="1:16">
      <c r="A64" s="4">
        <f t="shared" si="0"/>
        <v>60</v>
      </c>
      <c r="B64" s="5" t="s">
        <v>41</v>
      </c>
      <c r="C64" s="6" t="s">
        <v>42</v>
      </c>
      <c r="D64" s="7">
        <f t="shared" si="1"/>
        <v>560</v>
      </c>
      <c r="E64" s="4">
        <f>COUNTIF('200K OMAHA 5 K.O'!$D$8:$D$37,$C64)+COUNTIF(HORSE!$D$8:$D$26,$C64)+COUNTIF('SUPER K.O'!$D$8:$D$41,$C64)+COUNTIF('8 GAME'!$D$8:$D$21,$C64)+COUNTIF('100K OMAHA MYSTERY BOUNTY'!$D$8:$D$32,$C64)+COUNTIF('CHAMPIONSHIP HIGH ROLLER 200K'!$D$8:$D$72,$C64)+COUNTIF('PLO-NLH DEALER´S CHOICE PIJAMA'!$D$8:$D$27,$C64)+COUNTIF('Main Event SPT - Dia Final'!$D$8:$D$221,$C64)+COUNTIF('SECOND CHANCE'!$D$8:$D$86,$C64)+COUNTIF('HIGH ROLLER 50K'!$D$8:$D$38,$C64)+COUNTIF('OMAHA DEALER´S CHOICE'!$D$8:$D$30,$C64)</f>
        <v>3</v>
      </c>
      <c r="F64" s="8">
        <f>SUMIFS('200K OMAHA 5 K.O'!$C$8:$C$37,'200K OMAHA 5 K.O'!$D$8:$D$37,$C64)</f>
        <v>10</v>
      </c>
      <c r="G64" s="8">
        <f>SUMIFS(HORSE!$C$8:$C$26,HORSE!$D$8:$D$26,$C64)</f>
        <v>0</v>
      </c>
      <c r="H64" s="8">
        <f>SUMIFS('SUPER K.O'!$C$8:$C$41,'SUPER K.O'!$D$8:$D$41,$C64)</f>
        <v>0</v>
      </c>
      <c r="I64" s="8">
        <f>SUMIFS('8 GAME'!$C$8:$C$21,'8 GAME'!$D$8:$D$21,$C64)</f>
        <v>0</v>
      </c>
      <c r="J64" s="8">
        <f>SUMIFS('100K OMAHA MYSTERY BOUNTY'!$C$8:$C$32,'100K OMAHA MYSTERY BOUNTY'!$D$8:$D$32,$C64)</f>
        <v>540</v>
      </c>
      <c r="K64" s="8">
        <f>SUMIFS('CHAMPIONSHIP HIGH ROLLER 200K'!$C$8:$C$72,'CHAMPIONSHIP HIGH ROLLER 200K'!$D$8:$D$72,$C64)</f>
        <v>0</v>
      </c>
      <c r="L64" s="8">
        <f>SUMIFS('PLO-NLH DEALER´S CHOICE PIJAMA'!$C$8:$C$27,'PLO-NLH DEALER´S CHOICE PIJAMA'!$D$8:$D$27,$C64)</f>
        <v>0</v>
      </c>
      <c r="M64" s="8">
        <f>SUMIFS('Main Event SPT - Dia Final'!$C$8:$C$221,'Main Event SPT - Dia Final'!$D$8:$D$221,$C64)</f>
        <v>10</v>
      </c>
      <c r="N64" s="8">
        <f>SUMIFS('SECOND CHANCE'!$C$8:$C$86,'SECOND CHANCE'!$D$8:$D$86,$C64)</f>
        <v>0</v>
      </c>
      <c r="O64" s="8">
        <f>SUMIFS('HIGH ROLLER 50K'!$C$8:$C$38,'HIGH ROLLER 50K'!$D$8:$D$38,$C64)</f>
        <v>0</v>
      </c>
      <c r="P64" s="8">
        <f>SUMIFS('OMAHA DEALER´S CHOICE'!$C$8:$C$30,'OMAHA DEALER´S CHOICE'!$D$8:$D$30,$C64)</f>
        <v>0</v>
      </c>
    </row>
    <row r="65" spans="1:16">
      <c r="A65" s="4">
        <f t="shared" si="0"/>
        <v>61</v>
      </c>
      <c r="B65" s="5" t="s">
        <v>97</v>
      </c>
      <c r="C65" s="6" t="s">
        <v>98</v>
      </c>
      <c r="D65" s="7">
        <f t="shared" si="1"/>
        <v>544</v>
      </c>
      <c r="E65" s="4">
        <f>COUNTIF('200K OMAHA 5 K.O'!$D$8:$D$37,$C65)+COUNTIF(HORSE!$D$8:$D$26,$C65)+COUNTIF('SUPER K.O'!$D$8:$D$41,$C65)+COUNTIF('8 GAME'!$D$8:$D$21,$C65)+COUNTIF('100K OMAHA MYSTERY BOUNTY'!$D$8:$D$32,$C65)+COUNTIF('CHAMPIONSHIP HIGH ROLLER 200K'!$D$8:$D$72,$C65)+COUNTIF('PLO-NLH DEALER´S CHOICE PIJAMA'!$D$8:$D$27,$C65)+COUNTIF('Main Event SPT - Dia Final'!$D$8:$D$221,$C65)+COUNTIF('SECOND CHANCE'!$D$8:$D$86,$C65)+COUNTIF('HIGH ROLLER 50K'!$D$8:$D$38,$C65)+COUNTIF('OMAHA DEALER´S CHOICE'!$D$8:$D$30,$C65)</f>
        <v>5</v>
      </c>
      <c r="F65" s="8">
        <f>SUMIFS('200K OMAHA 5 K.O'!$C$8:$C$37,'200K OMAHA 5 K.O'!$D$8:$D$37,$C65)</f>
        <v>0</v>
      </c>
      <c r="G65" s="8">
        <f>SUMIFS(HORSE!$C$8:$C$26,HORSE!$D$8:$D$26,$C65)</f>
        <v>10</v>
      </c>
      <c r="H65" s="8">
        <f>SUMIFS('SUPER K.O'!$C$8:$C$41,'SUPER K.O'!$D$8:$D$41,$C65)</f>
        <v>504</v>
      </c>
      <c r="I65" s="8">
        <f>SUMIFS('8 GAME'!$C$8:$C$21,'8 GAME'!$D$8:$D$21,$C65)</f>
        <v>0</v>
      </c>
      <c r="J65" s="8">
        <f>SUMIFS('100K OMAHA MYSTERY BOUNTY'!$C$8:$C$32,'100K OMAHA MYSTERY BOUNTY'!$D$8:$D$32,$C65)</f>
        <v>0</v>
      </c>
      <c r="K65" s="8">
        <f>SUMIFS('CHAMPIONSHIP HIGH ROLLER 200K'!$C$8:$C$72,'CHAMPIONSHIP HIGH ROLLER 200K'!$D$8:$D$72,$C65)</f>
        <v>0</v>
      </c>
      <c r="L65" s="8">
        <f>SUMIFS('PLO-NLH DEALER´S CHOICE PIJAMA'!$C$8:$C$27,'PLO-NLH DEALER´S CHOICE PIJAMA'!$D$8:$D$27,$C65)</f>
        <v>10</v>
      </c>
      <c r="M65" s="8">
        <f>SUMIFS('Main Event SPT - Dia Final'!$C$8:$C$221,'Main Event SPT - Dia Final'!$D$8:$D$221,$C65)</f>
        <v>10</v>
      </c>
      <c r="N65" s="8">
        <f>SUMIFS('SECOND CHANCE'!$C$8:$C$86,'SECOND CHANCE'!$D$8:$D$86,$C65)</f>
        <v>0</v>
      </c>
      <c r="O65" s="8">
        <f>SUMIFS('HIGH ROLLER 50K'!$C$8:$C$38,'HIGH ROLLER 50K'!$D$8:$D$38,$C65)</f>
        <v>0</v>
      </c>
      <c r="P65" s="8">
        <f>SUMIFS('OMAHA DEALER´S CHOICE'!$C$8:$C$30,'OMAHA DEALER´S CHOICE'!$D$8:$D$30,$C65)</f>
        <v>10</v>
      </c>
    </row>
    <row r="66" spans="1:16">
      <c r="A66" s="4">
        <f t="shared" si="0"/>
        <v>62</v>
      </c>
      <c r="B66" s="5" t="s">
        <v>27</v>
      </c>
      <c r="C66" s="6" t="s">
        <v>28</v>
      </c>
      <c r="D66" s="7">
        <f t="shared" si="1"/>
        <v>510</v>
      </c>
      <c r="E66" s="4">
        <f>COUNTIF('200K OMAHA 5 K.O'!$D$8:$D$37,$C66)+COUNTIF(HORSE!$D$8:$D$26,$C66)+COUNTIF('SUPER K.O'!$D$8:$D$41,$C66)+COUNTIF('8 GAME'!$D$8:$D$21,$C66)+COUNTIF('100K OMAHA MYSTERY BOUNTY'!$D$8:$D$32,$C66)+COUNTIF('CHAMPIONSHIP HIGH ROLLER 200K'!$D$8:$D$72,$C66)+COUNTIF('PLO-NLH DEALER´S CHOICE PIJAMA'!$D$8:$D$27,$C66)+COUNTIF('Main Event SPT - Dia Final'!$D$8:$D$221,$C66)+COUNTIF('SECOND CHANCE'!$D$8:$D$86,$C66)+COUNTIF('HIGH ROLLER 50K'!$D$8:$D$38,$C66)+COUNTIF('OMAHA DEALER´S CHOICE'!$D$8:$D$30,$C66)</f>
        <v>4</v>
      </c>
      <c r="F66" s="8">
        <f>SUMIFS('200K OMAHA 5 K.O'!$C$8:$C$37,'200K OMAHA 5 K.O'!$D$8:$D$37,$C66)</f>
        <v>480</v>
      </c>
      <c r="G66" s="8">
        <f>SUMIFS(HORSE!$C$8:$C$26,HORSE!$D$8:$D$26,$C66)</f>
        <v>0</v>
      </c>
      <c r="H66" s="8">
        <f>SUMIFS('SUPER K.O'!$C$8:$C$41,'SUPER K.O'!$D$8:$D$41,$C66)</f>
        <v>0</v>
      </c>
      <c r="I66" s="8">
        <f>SUMIFS('8 GAME'!$C$8:$C$21,'8 GAME'!$D$8:$D$21,$C66)</f>
        <v>0</v>
      </c>
      <c r="J66" s="8">
        <f>SUMIFS('100K OMAHA MYSTERY BOUNTY'!$C$8:$C$32,'100K OMAHA MYSTERY BOUNTY'!$D$8:$D$32,$C66)</f>
        <v>10</v>
      </c>
      <c r="K66" s="8">
        <f>SUMIFS('CHAMPIONSHIP HIGH ROLLER 200K'!$C$8:$C$72,'CHAMPIONSHIP HIGH ROLLER 200K'!$D$8:$D$72,$C66)</f>
        <v>0</v>
      </c>
      <c r="L66" s="8">
        <f>SUMIFS('PLO-NLH DEALER´S CHOICE PIJAMA'!$C$8:$C$27,'PLO-NLH DEALER´S CHOICE PIJAMA'!$D$8:$D$27,$C66)</f>
        <v>0</v>
      </c>
      <c r="M66" s="8">
        <f>SUMIFS('Main Event SPT - Dia Final'!$C$8:$C$221,'Main Event SPT - Dia Final'!$D$8:$D$221,$C66)</f>
        <v>10</v>
      </c>
      <c r="N66" s="8">
        <f>SUMIFS('SECOND CHANCE'!$C$8:$C$86,'SECOND CHANCE'!$D$8:$D$86,$C66)</f>
        <v>0</v>
      </c>
      <c r="O66" s="8">
        <f>SUMIFS('HIGH ROLLER 50K'!$C$8:$C$38,'HIGH ROLLER 50K'!$D$8:$D$38,$C66)</f>
        <v>0</v>
      </c>
      <c r="P66" s="8">
        <f>SUMIFS('OMAHA DEALER´S CHOICE'!$C$8:$C$30,'OMAHA DEALER´S CHOICE'!$D$8:$D$30,$C66)</f>
        <v>10</v>
      </c>
    </row>
    <row r="67" spans="1:16">
      <c r="A67" s="4">
        <f t="shared" si="0"/>
        <v>63</v>
      </c>
      <c r="B67" s="5" t="s">
        <v>305</v>
      </c>
      <c r="C67" s="6" t="s">
        <v>306</v>
      </c>
      <c r="D67" s="7">
        <f t="shared" si="1"/>
        <v>507</v>
      </c>
      <c r="E67" s="4">
        <f>COUNTIF('200K OMAHA 5 K.O'!$D$8:$D$37,$C67)+COUNTIF(HORSE!$D$8:$D$26,$C67)+COUNTIF('SUPER K.O'!$D$8:$D$41,$C67)+COUNTIF('8 GAME'!$D$8:$D$21,$C67)+COUNTIF('100K OMAHA MYSTERY BOUNTY'!$D$8:$D$32,$C67)+COUNTIF('CHAMPIONSHIP HIGH ROLLER 200K'!$D$8:$D$72,$C67)+COUNTIF('PLO-NLH DEALER´S CHOICE PIJAMA'!$D$8:$D$27,$C67)+COUNTIF('Main Event SPT - Dia Final'!$D$8:$D$221,$C67)+COUNTIF('SECOND CHANCE'!$D$8:$D$86,$C67)+COUNTIF('HIGH ROLLER 50K'!$D$8:$D$38,$C67)+COUNTIF('OMAHA DEALER´S CHOICE'!$D$8:$D$30,$C67)</f>
        <v>2</v>
      </c>
      <c r="F67" s="8">
        <f>SUMIFS('200K OMAHA 5 K.O'!$C$8:$C$37,'200K OMAHA 5 K.O'!$D$8:$D$37,$C67)</f>
        <v>0</v>
      </c>
      <c r="G67" s="8">
        <f>SUMIFS(HORSE!$C$8:$C$26,HORSE!$D$8:$D$26,$C67)</f>
        <v>0</v>
      </c>
      <c r="H67" s="8">
        <f>SUMIFS('SUPER K.O'!$C$8:$C$41,'SUPER K.O'!$D$8:$D$41,$C67)</f>
        <v>0</v>
      </c>
      <c r="I67" s="8">
        <f>SUMIFS('8 GAME'!$C$8:$C$21,'8 GAME'!$D$8:$D$21,$C67)</f>
        <v>0</v>
      </c>
      <c r="J67" s="8">
        <f>SUMIFS('100K OMAHA MYSTERY BOUNTY'!$C$8:$C$32,'100K OMAHA MYSTERY BOUNTY'!$D$8:$D$32,$C67)</f>
        <v>0</v>
      </c>
      <c r="K67" s="8">
        <f>SUMIFS('CHAMPIONSHIP HIGH ROLLER 200K'!$C$8:$C$72,'CHAMPIONSHIP HIGH ROLLER 200K'!$D$8:$D$72,$C67)</f>
        <v>0</v>
      </c>
      <c r="L67" s="8">
        <f>SUMIFS('PLO-NLH DEALER´S CHOICE PIJAMA'!$C$8:$C$27,'PLO-NLH DEALER´S CHOICE PIJAMA'!$D$8:$D$27,$C67)</f>
        <v>0</v>
      </c>
      <c r="M67" s="8">
        <f>SUMIFS('Main Event SPT - Dia Final'!$C$8:$C$221,'Main Event SPT - Dia Final'!$D$8:$D$221,$C67)</f>
        <v>378</v>
      </c>
      <c r="N67" s="8">
        <f>SUMIFS('SECOND CHANCE'!$C$8:$C$86,'SECOND CHANCE'!$D$8:$D$86,$C67)</f>
        <v>129</v>
      </c>
      <c r="O67" s="8">
        <f>SUMIFS('HIGH ROLLER 50K'!$C$8:$C$38,'HIGH ROLLER 50K'!$D$8:$D$38,$C67)</f>
        <v>0</v>
      </c>
      <c r="P67" s="8">
        <f>SUMIFS('OMAHA DEALER´S CHOICE'!$C$8:$C$30,'OMAHA DEALER´S CHOICE'!$D$8:$D$30,$C67)</f>
        <v>0</v>
      </c>
    </row>
    <row r="68" spans="1:16">
      <c r="A68" s="4">
        <f t="shared" si="0"/>
        <v>64</v>
      </c>
      <c r="B68" s="5" t="s">
        <v>503</v>
      </c>
      <c r="C68" s="6" t="s">
        <v>504</v>
      </c>
      <c r="D68" s="7">
        <f t="shared" si="1"/>
        <v>496</v>
      </c>
      <c r="E68" s="4">
        <f>COUNTIF('200K OMAHA 5 K.O'!$D$8:$D$37,$C68)+COUNTIF(HORSE!$D$8:$D$26,$C68)+COUNTIF('SUPER K.O'!$D$8:$D$41,$C68)+COUNTIF('8 GAME'!$D$8:$D$21,$C68)+COUNTIF('100K OMAHA MYSTERY BOUNTY'!$D$8:$D$32,$C68)+COUNTIF('CHAMPIONSHIP HIGH ROLLER 200K'!$D$8:$D$72,$C68)+COUNTIF('PLO-NLH DEALER´S CHOICE PIJAMA'!$D$8:$D$27,$C68)+COUNTIF('Main Event SPT - Dia Final'!$D$8:$D$221,$C68)+COUNTIF('SECOND CHANCE'!$D$8:$D$86,$C68)+COUNTIF('HIGH ROLLER 50K'!$D$8:$D$38,$C68)+COUNTIF('OMAHA DEALER´S CHOICE'!$D$8:$D$30,$C68)</f>
        <v>2</v>
      </c>
      <c r="F68" s="8">
        <f>SUMIFS('200K OMAHA 5 K.O'!$C$8:$C$37,'200K OMAHA 5 K.O'!$D$8:$D$37,$C68)</f>
        <v>0</v>
      </c>
      <c r="G68" s="8">
        <f>SUMIFS(HORSE!$C$8:$C$26,HORSE!$D$8:$D$26,$C68)</f>
        <v>0</v>
      </c>
      <c r="H68" s="8">
        <f>SUMIFS('SUPER K.O'!$C$8:$C$41,'SUPER K.O'!$D$8:$D$41,$C68)</f>
        <v>0</v>
      </c>
      <c r="I68" s="8">
        <f>SUMIFS('8 GAME'!$C$8:$C$21,'8 GAME'!$D$8:$D$21,$C68)</f>
        <v>0</v>
      </c>
      <c r="J68" s="8">
        <f>SUMIFS('100K OMAHA MYSTERY BOUNTY'!$C$8:$C$32,'100K OMAHA MYSTERY BOUNTY'!$D$8:$D$32,$C68)</f>
        <v>0</v>
      </c>
      <c r="K68" s="8">
        <f>SUMIFS('CHAMPIONSHIP HIGH ROLLER 200K'!$C$8:$C$72,'CHAMPIONSHIP HIGH ROLLER 200K'!$D$8:$D$72,$C68)</f>
        <v>0</v>
      </c>
      <c r="L68" s="8">
        <f>SUMIFS('PLO-NLH DEALER´S CHOICE PIJAMA'!$C$8:$C$27,'PLO-NLH DEALER´S CHOICE PIJAMA'!$D$8:$D$27,$C68)</f>
        <v>0</v>
      </c>
      <c r="M68" s="8">
        <f>SUMIFS('Main Event SPT - Dia Final'!$C$8:$C$221,'Main Event SPT - Dia Final'!$D$8:$D$221,$C68)</f>
        <v>0</v>
      </c>
      <c r="N68" s="8">
        <f>SUMIFS('SECOND CHANCE'!$C$8:$C$86,'SECOND CHANCE'!$D$8:$D$86,$C68)</f>
        <v>10</v>
      </c>
      <c r="O68" s="8">
        <f>SUMIFS('HIGH ROLLER 50K'!$C$8:$C$38,'HIGH ROLLER 50K'!$D$8:$D$38,$C68)</f>
        <v>486</v>
      </c>
      <c r="P68" s="8">
        <f>SUMIFS('OMAHA DEALER´S CHOICE'!$C$8:$C$30,'OMAHA DEALER´S CHOICE'!$D$8:$D$30,$C68)</f>
        <v>0</v>
      </c>
    </row>
    <row r="69" spans="1:16">
      <c r="A69" s="4">
        <f t="shared" ref="A69:A132" si="2">RANK(D69,$D$5:$D$245)</f>
        <v>65</v>
      </c>
      <c r="B69" s="5" t="s">
        <v>91</v>
      </c>
      <c r="C69" s="6" t="s">
        <v>92</v>
      </c>
      <c r="D69" s="7">
        <f t="shared" ref="D69:D132" si="3">SUM(F69:P69)</f>
        <v>491.5</v>
      </c>
      <c r="E69" s="4">
        <f>COUNTIF('200K OMAHA 5 K.O'!$D$8:$D$37,$C69)+COUNTIF(HORSE!$D$8:$D$26,$C69)+COUNTIF('SUPER K.O'!$D$8:$D$41,$C69)+COUNTIF('8 GAME'!$D$8:$D$21,$C69)+COUNTIF('100K OMAHA MYSTERY BOUNTY'!$D$8:$D$32,$C69)+COUNTIF('CHAMPIONSHIP HIGH ROLLER 200K'!$D$8:$D$72,$C69)+COUNTIF('PLO-NLH DEALER´S CHOICE PIJAMA'!$D$8:$D$27,$C69)+COUNTIF('Main Event SPT - Dia Final'!$D$8:$D$221,$C69)+COUNTIF('SECOND CHANCE'!$D$8:$D$86,$C69)+COUNTIF('HIGH ROLLER 50K'!$D$8:$D$38,$C69)+COUNTIF('OMAHA DEALER´S CHOICE'!$D$8:$D$30,$C69)</f>
        <v>5</v>
      </c>
      <c r="F69" s="8">
        <f>SUMIFS('200K OMAHA 5 K.O'!$C$8:$C$37,'200K OMAHA 5 K.O'!$D$8:$D$37,$C69)</f>
        <v>0</v>
      </c>
      <c r="G69" s="8">
        <f>SUMIFS(HORSE!$C$8:$C$26,HORSE!$D$8:$D$26,$C69)</f>
        <v>10</v>
      </c>
      <c r="H69" s="8">
        <f>SUMIFS('SUPER K.O'!$C$8:$C$41,'SUPER K.O'!$D$8:$D$41,$C69)</f>
        <v>0</v>
      </c>
      <c r="I69" s="8">
        <f>SUMIFS('8 GAME'!$C$8:$C$21,'8 GAME'!$D$8:$D$21,$C69)</f>
        <v>10</v>
      </c>
      <c r="J69" s="8">
        <f>SUMIFS('100K OMAHA MYSTERY BOUNTY'!$C$8:$C$32,'100K OMAHA MYSTERY BOUNTY'!$D$8:$D$32,$C69)</f>
        <v>0</v>
      </c>
      <c r="K69" s="8">
        <f>SUMIFS('CHAMPIONSHIP HIGH ROLLER 200K'!$C$8:$C$72,'CHAMPIONSHIP HIGH ROLLER 200K'!$D$8:$D$72,$C69)</f>
        <v>10</v>
      </c>
      <c r="L69" s="8">
        <f>SUMIFS('PLO-NLH DEALER´S CHOICE PIJAMA'!$C$8:$C$27,'PLO-NLH DEALER´S CHOICE PIJAMA'!$D$8:$D$27,$C69)</f>
        <v>0</v>
      </c>
      <c r="M69" s="8">
        <f>SUMIFS('Main Event SPT - Dia Final'!$C$8:$C$221,'Main Event SPT - Dia Final'!$D$8:$D$221,$C69)</f>
        <v>10</v>
      </c>
      <c r="N69" s="8">
        <f>SUMIFS('SECOND CHANCE'!$C$8:$C$86,'SECOND CHANCE'!$D$8:$D$86,$C69)</f>
        <v>451.5</v>
      </c>
      <c r="O69" s="8">
        <f>SUMIFS('HIGH ROLLER 50K'!$C$8:$C$38,'HIGH ROLLER 50K'!$D$8:$D$38,$C69)</f>
        <v>0</v>
      </c>
      <c r="P69" s="8">
        <f>SUMIFS('OMAHA DEALER´S CHOICE'!$C$8:$C$30,'OMAHA DEALER´S CHOICE'!$D$8:$D$30,$C69)</f>
        <v>0</v>
      </c>
    </row>
    <row r="70" spans="1:16">
      <c r="A70" s="4">
        <f t="shared" si="2"/>
        <v>66</v>
      </c>
      <c r="B70" s="5" t="s">
        <v>89</v>
      </c>
      <c r="C70" s="6" t="s">
        <v>90</v>
      </c>
      <c r="D70" s="7">
        <f t="shared" si="3"/>
        <v>475.25</v>
      </c>
      <c r="E70" s="4">
        <f>COUNTIF('200K OMAHA 5 K.O'!$D$8:$D$37,$C70)+COUNTIF(HORSE!$D$8:$D$26,$C70)+COUNTIF('SUPER K.O'!$D$8:$D$41,$C70)+COUNTIF('8 GAME'!$D$8:$D$21,$C70)+COUNTIF('100K OMAHA MYSTERY BOUNTY'!$D$8:$D$32,$C70)+COUNTIF('CHAMPIONSHIP HIGH ROLLER 200K'!$D$8:$D$72,$C70)+COUNTIF('PLO-NLH DEALER´S CHOICE PIJAMA'!$D$8:$D$27,$C70)+COUNTIF('Main Event SPT - Dia Final'!$D$8:$D$221,$C70)+COUNTIF('SECOND CHANCE'!$D$8:$D$86,$C70)+COUNTIF('HIGH ROLLER 50K'!$D$8:$D$38,$C70)+COUNTIF('OMAHA DEALER´S CHOICE'!$D$8:$D$30,$C70)</f>
        <v>6</v>
      </c>
      <c r="F70" s="8">
        <f>SUMIFS('200K OMAHA 5 K.O'!$C$8:$C$37,'200K OMAHA 5 K.O'!$D$8:$D$37,$C70)</f>
        <v>0</v>
      </c>
      <c r="G70" s="8">
        <f>SUMIFS(HORSE!$C$8:$C$26,HORSE!$D$8:$D$26,$C70)</f>
        <v>10</v>
      </c>
      <c r="H70" s="8">
        <f>SUMIFS('SUPER K.O'!$C$8:$C$41,'SUPER K.O'!$D$8:$D$41,$C70)</f>
        <v>0</v>
      </c>
      <c r="I70" s="8">
        <f>SUMIFS('8 GAME'!$C$8:$C$21,'8 GAME'!$D$8:$D$21,$C70)</f>
        <v>10</v>
      </c>
      <c r="J70" s="8">
        <f>SUMIFS('100K OMAHA MYSTERY BOUNTY'!$C$8:$C$32,'100K OMAHA MYSTERY BOUNTY'!$D$8:$D$32,$C70)</f>
        <v>10</v>
      </c>
      <c r="K70" s="8">
        <f>SUMIFS('CHAMPIONSHIP HIGH ROLLER 200K'!$C$8:$C$72,'CHAMPIONSHIP HIGH ROLLER 200K'!$D$8:$D$72,$C70)</f>
        <v>10</v>
      </c>
      <c r="L70" s="8">
        <f>SUMIFS('PLO-NLH DEALER´S CHOICE PIJAMA'!$C$8:$C$27,'PLO-NLH DEALER´S CHOICE PIJAMA'!$D$8:$D$27,$C70)</f>
        <v>0</v>
      </c>
      <c r="M70" s="8">
        <f>SUMIFS('Main Event SPT - Dia Final'!$C$8:$C$221,'Main Event SPT - Dia Final'!$D$8:$D$221,$C70)</f>
        <v>10</v>
      </c>
      <c r="N70" s="8">
        <f>SUMIFS('SECOND CHANCE'!$C$8:$C$86,'SECOND CHANCE'!$D$8:$D$86,$C70)</f>
        <v>0</v>
      </c>
      <c r="O70" s="8">
        <f>SUMIFS('HIGH ROLLER 50K'!$C$8:$C$38,'HIGH ROLLER 50K'!$D$8:$D$38,$C70)</f>
        <v>425.25</v>
      </c>
      <c r="P70" s="8">
        <f>SUMIFS('OMAHA DEALER´S CHOICE'!$C$8:$C$30,'OMAHA DEALER´S CHOICE'!$D$8:$D$30,$C70)</f>
        <v>0</v>
      </c>
    </row>
    <row r="71" spans="1:16">
      <c r="A71" s="4">
        <f t="shared" si="2"/>
        <v>67</v>
      </c>
      <c r="B71" s="5" t="s">
        <v>71</v>
      </c>
      <c r="C71" s="6" t="s">
        <v>72</v>
      </c>
      <c r="D71" s="7">
        <f t="shared" si="3"/>
        <v>470</v>
      </c>
      <c r="E71" s="4">
        <f>COUNTIF('200K OMAHA 5 K.O'!$D$8:$D$37,$C71)+COUNTIF(HORSE!$D$8:$D$26,$C71)+COUNTIF('SUPER K.O'!$D$8:$D$41,$C71)+COUNTIF('8 GAME'!$D$8:$D$21,$C71)+COUNTIF('100K OMAHA MYSTERY BOUNTY'!$D$8:$D$32,$C71)+COUNTIF('CHAMPIONSHIP HIGH ROLLER 200K'!$D$8:$D$72,$C71)+COUNTIF('PLO-NLH DEALER´S CHOICE PIJAMA'!$D$8:$D$27,$C71)+COUNTIF('Main Event SPT - Dia Final'!$D$8:$D$221,$C71)+COUNTIF('SECOND CHANCE'!$D$8:$D$86,$C71)+COUNTIF('HIGH ROLLER 50K'!$D$8:$D$38,$C71)+COUNTIF('OMAHA DEALER´S CHOICE'!$D$8:$D$30,$C71)</f>
        <v>6</v>
      </c>
      <c r="F71" s="8">
        <f>SUMIFS('200K OMAHA 5 K.O'!$C$8:$C$37,'200K OMAHA 5 K.O'!$D$8:$D$37,$C71)</f>
        <v>10</v>
      </c>
      <c r="G71" s="8">
        <f>SUMIFS(HORSE!$C$8:$C$26,HORSE!$D$8:$D$26,$C71)</f>
        <v>0</v>
      </c>
      <c r="H71" s="8">
        <f>SUMIFS('SUPER K.O'!$C$8:$C$41,'SUPER K.O'!$D$8:$D$41,$C71)</f>
        <v>420</v>
      </c>
      <c r="I71" s="8">
        <f>SUMIFS('8 GAME'!$C$8:$C$21,'8 GAME'!$D$8:$D$21,$C71)</f>
        <v>0</v>
      </c>
      <c r="J71" s="8">
        <f>SUMIFS('100K OMAHA MYSTERY BOUNTY'!$C$8:$C$32,'100K OMAHA MYSTERY BOUNTY'!$D$8:$D$32,$C71)</f>
        <v>10</v>
      </c>
      <c r="K71" s="8">
        <f>SUMIFS('CHAMPIONSHIP HIGH ROLLER 200K'!$C$8:$C$72,'CHAMPIONSHIP HIGH ROLLER 200K'!$D$8:$D$72,$C71)</f>
        <v>10</v>
      </c>
      <c r="L71" s="8">
        <f>SUMIFS('PLO-NLH DEALER´S CHOICE PIJAMA'!$C$8:$C$27,'PLO-NLH DEALER´S CHOICE PIJAMA'!$D$8:$D$27,$C71)</f>
        <v>0</v>
      </c>
      <c r="M71" s="8">
        <f>SUMIFS('Main Event SPT - Dia Final'!$C$8:$C$221,'Main Event SPT - Dia Final'!$D$8:$D$221,$C71)</f>
        <v>0</v>
      </c>
      <c r="N71" s="8">
        <f>SUMIFS('SECOND CHANCE'!$C$8:$C$86,'SECOND CHANCE'!$D$8:$D$86,$C71)</f>
        <v>10</v>
      </c>
      <c r="O71" s="8">
        <f>SUMIFS('HIGH ROLLER 50K'!$C$8:$C$38,'HIGH ROLLER 50K'!$D$8:$D$38,$C71)</f>
        <v>10</v>
      </c>
      <c r="P71" s="8">
        <f>SUMIFS('OMAHA DEALER´S CHOICE'!$C$8:$C$30,'OMAHA DEALER´S CHOICE'!$D$8:$D$30,$C71)</f>
        <v>0</v>
      </c>
    </row>
    <row r="72" spans="1:16">
      <c r="A72" s="4">
        <f t="shared" si="2"/>
        <v>68</v>
      </c>
      <c r="B72" s="5" t="s">
        <v>99</v>
      </c>
      <c r="C72" s="6" t="s">
        <v>100</v>
      </c>
      <c r="D72" s="7">
        <f t="shared" si="3"/>
        <v>418</v>
      </c>
      <c r="E72" s="4">
        <f>COUNTIF('200K OMAHA 5 K.O'!$D$8:$D$37,$C72)+COUNTIF(HORSE!$D$8:$D$26,$C72)+COUNTIF('SUPER K.O'!$D$8:$D$41,$C72)+COUNTIF('8 GAME'!$D$8:$D$21,$C72)+COUNTIF('100K OMAHA MYSTERY BOUNTY'!$D$8:$D$32,$C72)+COUNTIF('CHAMPIONSHIP HIGH ROLLER 200K'!$D$8:$D$72,$C72)+COUNTIF('PLO-NLH DEALER´S CHOICE PIJAMA'!$D$8:$D$27,$C72)+COUNTIF('Main Event SPT - Dia Final'!$D$8:$D$221,$C72)+COUNTIF('SECOND CHANCE'!$D$8:$D$86,$C72)+COUNTIF('HIGH ROLLER 50K'!$D$8:$D$38,$C72)+COUNTIF('OMAHA DEALER´S CHOICE'!$D$8:$D$30,$C72)</f>
        <v>5</v>
      </c>
      <c r="F72" s="8">
        <f>SUMIFS('200K OMAHA 5 K.O'!$C$8:$C$37,'200K OMAHA 5 K.O'!$D$8:$D$37,$C72)</f>
        <v>0</v>
      </c>
      <c r="G72" s="8">
        <f>SUMIFS(HORSE!$C$8:$C$26,HORSE!$D$8:$D$26,$C72)</f>
        <v>10</v>
      </c>
      <c r="H72" s="8">
        <f>SUMIFS('SUPER K.O'!$C$8:$C$41,'SUPER K.O'!$D$8:$D$41,$C72)</f>
        <v>0</v>
      </c>
      <c r="I72" s="8">
        <f>SUMIFS('8 GAME'!$C$8:$C$21,'8 GAME'!$D$8:$D$21,$C72)</f>
        <v>0</v>
      </c>
      <c r="J72" s="8">
        <f>SUMIFS('100K OMAHA MYSTERY BOUNTY'!$C$8:$C$32,'100K OMAHA MYSTERY BOUNTY'!$D$8:$D$32,$C72)</f>
        <v>0</v>
      </c>
      <c r="K72" s="8">
        <f>SUMIFS('CHAMPIONSHIP HIGH ROLLER 200K'!$C$8:$C$72,'CHAMPIONSHIP HIGH ROLLER 200K'!$D$8:$D$72,$C72)</f>
        <v>10</v>
      </c>
      <c r="L72" s="8">
        <f>SUMIFS('PLO-NLH DEALER´S CHOICE PIJAMA'!$C$8:$C$27,'PLO-NLH DEALER´S CHOICE PIJAMA'!$D$8:$D$27,$C72)</f>
        <v>10</v>
      </c>
      <c r="M72" s="8">
        <f>SUMIFS('Main Event SPT - Dia Final'!$C$8:$C$221,'Main Event SPT - Dia Final'!$D$8:$D$221,$C72)</f>
        <v>378</v>
      </c>
      <c r="N72" s="8">
        <f>SUMIFS('SECOND CHANCE'!$C$8:$C$86,'SECOND CHANCE'!$D$8:$D$86,$C72)</f>
        <v>0</v>
      </c>
      <c r="O72" s="8">
        <f>SUMIFS('HIGH ROLLER 50K'!$C$8:$C$38,'HIGH ROLLER 50K'!$D$8:$D$38,$C72)</f>
        <v>10</v>
      </c>
      <c r="P72" s="8">
        <f>SUMIFS('OMAHA DEALER´S CHOICE'!$C$8:$C$30,'OMAHA DEALER´S CHOICE'!$D$8:$D$30,$C72)</f>
        <v>0</v>
      </c>
    </row>
    <row r="73" spans="1:16">
      <c r="A73" s="4">
        <f t="shared" si="2"/>
        <v>69</v>
      </c>
      <c r="B73" s="5" t="s">
        <v>142</v>
      </c>
      <c r="C73" s="6" t="s">
        <v>143</v>
      </c>
      <c r="D73" s="7">
        <f t="shared" si="3"/>
        <v>408</v>
      </c>
      <c r="E73" s="4">
        <f>COUNTIF('200K OMAHA 5 K.O'!$D$8:$D$37,$C73)+COUNTIF(HORSE!$D$8:$D$26,$C73)+COUNTIF('SUPER K.O'!$D$8:$D$41,$C73)+COUNTIF('8 GAME'!$D$8:$D$21,$C73)+COUNTIF('100K OMAHA MYSTERY BOUNTY'!$D$8:$D$32,$C73)+COUNTIF('CHAMPIONSHIP HIGH ROLLER 200K'!$D$8:$D$72,$C73)+COUNTIF('PLO-NLH DEALER´S CHOICE PIJAMA'!$D$8:$D$27,$C73)+COUNTIF('Main Event SPT - Dia Final'!$D$8:$D$221,$C73)+COUNTIF('SECOND CHANCE'!$D$8:$D$86,$C73)+COUNTIF('HIGH ROLLER 50K'!$D$8:$D$38,$C73)+COUNTIF('OMAHA DEALER´S CHOICE'!$D$8:$D$30,$C73)</f>
        <v>4</v>
      </c>
      <c r="F73" s="8">
        <f>SUMIFS('200K OMAHA 5 K.O'!$C$8:$C$37,'200K OMAHA 5 K.O'!$D$8:$D$37,$C73)</f>
        <v>0</v>
      </c>
      <c r="G73" s="8">
        <f>SUMIFS(HORSE!$C$8:$C$26,HORSE!$D$8:$D$26,$C73)</f>
        <v>0</v>
      </c>
      <c r="H73" s="8">
        <f>SUMIFS('SUPER K.O'!$C$8:$C$41,'SUPER K.O'!$D$8:$D$41,$C73)</f>
        <v>10</v>
      </c>
      <c r="I73" s="8">
        <f>SUMIFS('8 GAME'!$C$8:$C$21,'8 GAME'!$D$8:$D$21,$C73)</f>
        <v>0</v>
      </c>
      <c r="J73" s="8">
        <f>SUMIFS('100K OMAHA MYSTERY BOUNTY'!$C$8:$C$32,'100K OMAHA MYSTERY BOUNTY'!$D$8:$D$32,$C73)</f>
        <v>0</v>
      </c>
      <c r="K73" s="8">
        <f>SUMIFS('CHAMPIONSHIP HIGH ROLLER 200K'!$C$8:$C$72,'CHAMPIONSHIP HIGH ROLLER 200K'!$D$8:$D$72,$C73)</f>
        <v>10</v>
      </c>
      <c r="L73" s="8">
        <f>SUMIFS('PLO-NLH DEALER´S CHOICE PIJAMA'!$C$8:$C$27,'PLO-NLH DEALER´S CHOICE PIJAMA'!$D$8:$D$27,$C73)</f>
        <v>0</v>
      </c>
      <c r="M73" s="8">
        <f>SUMIFS('Main Event SPT - Dia Final'!$C$8:$C$221,'Main Event SPT - Dia Final'!$D$8:$D$221,$C73)</f>
        <v>378</v>
      </c>
      <c r="N73" s="8">
        <f>SUMIFS('SECOND CHANCE'!$C$8:$C$86,'SECOND CHANCE'!$D$8:$D$86,$C73)</f>
        <v>0</v>
      </c>
      <c r="O73" s="8">
        <f>SUMIFS('HIGH ROLLER 50K'!$C$8:$C$38,'HIGH ROLLER 50K'!$D$8:$D$38,$C73)</f>
        <v>10</v>
      </c>
      <c r="P73" s="8">
        <f>SUMIFS('OMAHA DEALER´S CHOICE'!$C$8:$C$30,'OMAHA DEALER´S CHOICE'!$D$8:$D$30,$C73)</f>
        <v>0</v>
      </c>
    </row>
    <row r="74" spans="1:16">
      <c r="A74" s="4">
        <f t="shared" si="2"/>
        <v>69</v>
      </c>
      <c r="B74" s="5" t="s">
        <v>146</v>
      </c>
      <c r="C74" s="6" t="s">
        <v>147</v>
      </c>
      <c r="D74" s="7">
        <f t="shared" si="3"/>
        <v>408</v>
      </c>
      <c r="E74" s="4">
        <f>COUNTIF('200K OMAHA 5 K.O'!$D$8:$D$37,$C74)+COUNTIF(HORSE!$D$8:$D$26,$C74)+COUNTIF('SUPER K.O'!$D$8:$D$41,$C74)+COUNTIF('8 GAME'!$D$8:$D$21,$C74)+COUNTIF('100K OMAHA MYSTERY BOUNTY'!$D$8:$D$32,$C74)+COUNTIF('CHAMPIONSHIP HIGH ROLLER 200K'!$D$8:$D$72,$C74)+COUNTIF('PLO-NLH DEALER´S CHOICE PIJAMA'!$D$8:$D$27,$C74)+COUNTIF('Main Event SPT - Dia Final'!$D$8:$D$221,$C74)+COUNTIF('SECOND CHANCE'!$D$8:$D$86,$C74)+COUNTIF('HIGH ROLLER 50K'!$D$8:$D$38,$C74)+COUNTIF('OMAHA DEALER´S CHOICE'!$D$8:$D$30,$C74)</f>
        <v>4</v>
      </c>
      <c r="F74" s="8">
        <f>SUMIFS('200K OMAHA 5 K.O'!$C$8:$C$37,'200K OMAHA 5 K.O'!$D$8:$D$37,$C74)</f>
        <v>0</v>
      </c>
      <c r="G74" s="8">
        <f>SUMIFS(HORSE!$C$8:$C$26,HORSE!$D$8:$D$26,$C74)</f>
        <v>0</v>
      </c>
      <c r="H74" s="8">
        <f>SUMIFS('SUPER K.O'!$C$8:$C$41,'SUPER K.O'!$D$8:$D$41,$C74)</f>
        <v>10</v>
      </c>
      <c r="I74" s="8">
        <f>SUMIFS('8 GAME'!$C$8:$C$21,'8 GAME'!$D$8:$D$21,$C74)</f>
        <v>0</v>
      </c>
      <c r="J74" s="8">
        <f>SUMIFS('100K OMAHA MYSTERY BOUNTY'!$C$8:$C$32,'100K OMAHA MYSTERY BOUNTY'!$D$8:$D$32,$C74)</f>
        <v>0</v>
      </c>
      <c r="K74" s="8">
        <f>SUMIFS('CHAMPIONSHIP HIGH ROLLER 200K'!$C$8:$C$72,'CHAMPIONSHIP HIGH ROLLER 200K'!$D$8:$D$72,$C74)</f>
        <v>10</v>
      </c>
      <c r="L74" s="8">
        <f>SUMIFS('PLO-NLH DEALER´S CHOICE PIJAMA'!$C$8:$C$27,'PLO-NLH DEALER´S CHOICE PIJAMA'!$D$8:$D$27,$C74)</f>
        <v>0</v>
      </c>
      <c r="M74" s="8">
        <f>SUMIFS('Main Event SPT - Dia Final'!$C$8:$C$221,'Main Event SPT - Dia Final'!$D$8:$D$221,$C74)</f>
        <v>378</v>
      </c>
      <c r="N74" s="8">
        <f>SUMIFS('SECOND CHANCE'!$C$8:$C$86,'SECOND CHANCE'!$D$8:$D$86,$C74)</f>
        <v>0</v>
      </c>
      <c r="O74" s="8">
        <f>SUMIFS('HIGH ROLLER 50K'!$C$8:$C$38,'HIGH ROLLER 50K'!$D$8:$D$38,$C74)</f>
        <v>10</v>
      </c>
      <c r="P74" s="8">
        <f>SUMIFS('OMAHA DEALER´S CHOICE'!$C$8:$C$30,'OMAHA DEALER´S CHOICE'!$D$8:$D$30,$C74)</f>
        <v>0</v>
      </c>
    </row>
    <row r="75" spans="1:16">
      <c r="A75" s="4">
        <f t="shared" si="2"/>
        <v>69</v>
      </c>
      <c r="B75" s="5" t="s">
        <v>212</v>
      </c>
      <c r="C75" s="6" t="s">
        <v>213</v>
      </c>
      <c r="D75" s="7">
        <f t="shared" si="3"/>
        <v>408</v>
      </c>
      <c r="E75" s="4">
        <f>COUNTIF('200K OMAHA 5 K.O'!$D$8:$D$37,$C75)+COUNTIF(HORSE!$D$8:$D$26,$C75)+COUNTIF('SUPER K.O'!$D$8:$D$41,$C75)+COUNTIF('8 GAME'!$D$8:$D$21,$C75)+COUNTIF('100K OMAHA MYSTERY BOUNTY'!$D$8:$D$32,$C75)+COUNTIF('CHAMPIONSHIP HIGH ROLLER 200K'!$D$8:$D$72,$C75)+COUNTIF('PLO-NLH DEALER´S CHOICE PIJAMA'!$D$8:$D$27,$C75)+COUNTIF('Main Event SPT - Dia Final'!$D$8:$D$221,$C75)+COUNTIF('SECOND CHANCE'!$D$8:$D$86,$C75)+COUNTIF('HIGH ROLLER 50K'!$D$8:$D$38,$C75)+COUNTIF('OMAHA DEALER´S CHOICE'!$D$8:$D$30,$C75)</f>
        <v>4</v>
      </c>
      <c r="F75" s="8">
        <f>SUMIFS('200K OMAHA 5 K.O'!$C$8:$C$37,'200K OMAHA 5 K.O'!$D$8:$D$37,$C75)</f>
        <v>0</v>
      </c>
      <c r="G75" s="8">
        <f>SUMIFS(HORSE!$C$8:$C$26,HORSE!$D$8:$D$26,$C75)</f>
        <v>0</v>
      </c>
      <c r="H75" s="8">
        <f>SUMIFS('SUPER K.O'!$C$8:$C$41,'SUPER K.O'!$D$8:$D$41,$C75)</f>
        <v>0</v>
      </c>
      <c r="I75" s="8">
        <f>SUMIFS('8 GAME'!$C$8:$C$21,'8 GAME'!$D$8:$D$21,$C75)</f>
        <v>0</v>
      </c>
      <c r="J75" s="8">
        <f>SUMIFS('100K OMAHA MYSTERY BOUNTY'!$C$8:$C$32,'100K OMAHA MYSTERY BOUNTY'!$D$8:$D$32,$C75)</f>
        <v>0</v>
      </c>
      <c r="K75" s="8">
        <f>SUMIFS('CHAMPIONSHIP HIGH ROLLER 200K'!$C$8:$C$72,'CHAMPIONSHIP HIGH ROLLER 200K'!$D$8:$D$72,$C75)</f>
        <v>10</v>
      </c>
      <c r="L75" s="8">
        <f>SUMIFS('PLO-NLH DEALER´S CHOICE PIJAMA'!$C$8:$C$27,'PLO-NLH DEALER´S CHOICE PIJAMA'!$D$8:$D$27,$C75)</f>
        <v>0</v>
      </c>
      <c r="M75" s="8">
        <f>SUMIFS('Main Event SPT - Dia Final'!$C$8:$C$221,'Main Event SPT - Dia Final'!$D$8:$D$221,$C75)</f>
        <v>378</v>
      </c>
      <c r="N75" s="8">
        <f>SUMIFS('SECOND CHANCE'!$C$8:$C$86,'SECOND CHANCE'!$D$8:$D$86,$C75)</f>
        <v>10</v>
      </c>
      <c r="O75" s="8">
        <f>SUMIFS('HIGH ROLLER 50K'!$C$8:$C$38,'HIGH ROLLER 50K'!$D$8:$D$38,$C75)</f>
        <v>10</v>
      </c>
      <c r="P75" s="8">
        <f>SUMIFS('OMAHA DEALER´S CHOICE'!$C$8:$C$30,'OMAHA DEALER´S CHOICE'!$D$8:$D$30,$C75)</f>
        <v>0</v>
      </c>
    </row>
    <row r="76" spans="1:16">
      <c r="A76" s="4">
        <f t="shared" si="2"/>
        <v>72</v>
      </c>
      <c r="B76" s="5" t="s">
        <v>107</v>
      </c>
      <c r="C76" s="6" t="s">
        <v>108</v>
      </c>
      <c r="D76" s="7">
        <f t="shared" si="3"/>
        <v>398</v>
      </c>
      <c r="E76" s="4">
        <f>COUNTIF('200K OMAHA 5 K.O'!$D$8:$D$37,$C76)+COUNTIF(HORSE!$D$8:$D$26,$C76)+COUNTIF('SUPER K.O'!$D$8:$D$41,$C76)+COUNTIF('8 GAME'!$D$8:$D$21,$C76)+COUNTIF('100K OMAHA MYSTERY BOUNTY'!$D$8:$D$32,$C76)+COUNTIF('CHAMPIONSHIP HIGH ROLLER 200K'!$D$8:$D$72,$C76)+COUNTIF('PLO-NLH DEALER´S CHOICE PIJAMA'!$D$8:$D$27,$C76)+COUNTIF('Main Event SPT - Dia Final'!$D$8:$D$221,$C76)+COUNTIF('SECOND CHANCE'!$D$8:$D$86,$C76)+COUNTIF('HIGH ROLLER 50K'!$D$8:$D$38,$C76)+COUNTIF('OMAHA DEALER´S CHOICE'!$D$8:$D$30,$C76)</f>
        <v>3</v>
      </c>
      <c r="F76" s="8">
        <f>SUMIFS('200K OMAHA 5 K.O'!$C$8:$C$37,'200K OMAHA 5 K.O'!$D$8:$D$37,$C76)</f>
        <v>0</v>
      </c>
      <c r="G76" s="8">
        <f>SUMIFS(HORSE!$C$8:$C$26,HORSE!$D$8:$D$26,$C76)</f>
        <v>10</v>
      </c>
      <c r="H76" s="8">
        <f>SUMIFS('SUPER K.O'!$C$8:$C$41,'SUPER K.O'!$D$8:$D$41,$C76)</f>
        <v>0</v>
      </c>
      <c r="I76" s="8">
        <f>SUMIFS('8 GAME'!$C$8:$C$21,'8 GAME'!$D$8:$D$21,$C76)</f>
        <v>10</v>
      </c>
      <c r="J76" s="8">
        <f>SUMIFS('100K OMAHA MYSTERY BOUNTY'!$C$8:$C$32,'100K OMAHA MYSTERY BOUNTY'!$D$8:$D$32,$C76)</f>
        <v>0</v>
      </c>
      <c r="K76" s="8">
        <f>SUMIFS('CHAMPIONSHIP HIGH ROLLER 200K'!$C$8:$C$72,'CHAMPIONSHIP HIGH ROLLER 200K'!$D$8:$D$72,$C76)</f>
        <v>0</v>
      </c>
      <c r="L76" s="8">
        <f>SUMIFS('PLO-NLH DEALER´S CHOICE PIJAMA'!$C$8:$C$27,'PLO-NLH DEALER´S CHOICE PIJAMA'!$D$8:$D$27,$C76)</f>
        <v>0</v>
      </c>
      <c r="M76" s="8">
        <f>SUMIFS('Main Event SPT - Dia Final'!$C$8:$C$221,'Main Event SPT - Dia Final'!$D$8:$D$221,$C76)</f>
        <v>378</v>
      </c>
      <c r="N76" s="8">
        <f>SUMIFS('SECOND CHANCE'!$C$8:$C$86,'SECOND CHANCE'!$D$8:$D$86,$C76)</f>
        <v>0</v>
      </c>
      <c r="O76" s="8">
        <f>SUMIFS('HIGH ROLLER 50K'!$C$8:$C$38,'HIGH ROLLER 50K'!$D$8:$D$38,$C76)</f>
        <v>0</v>
      </c>
      <c r="P76" s="8">
        <f>SUMIFS('OMAHA DEALER´S CHOICE'!$C$8:$C$30,'OMAHA DEALER´S CHOICE'!$D$8:$D$30,$C76)</f>
        <v>0</v>
      </c>
    </row>
    <row r="77" spans="1:16">
      <c r="A77" s="4">
        <f t="shared" si="2"/>
        <v>72</v>
      </c>
      <c r="B77" s="5" t="s">
        <v>140</v>
      </c>
      <c r="C77" s="6" t="s">
        <v>141</v>
      </c>
      <c r="D77" s="7">
        <f t="shared" si="3"/>
        <v>398</v>
      </c>
      <c r="E77" s="4">
        <f>COUNTIF('200K OMAHA 5 K.O'!$D$8:$D$37,$C77)+COUNTIF(HORSE!$D$8:$D$26,$C77)+COUNTIF('SUPER K.O'!$D$8:$D$41,$C77)+COUNTIF('8 GAME'!$D$8:$D$21,$C77)+COUNTIF('100K OMAHA MYSTERY BOUNTY'!$D$8:$D$32,$C77)+COUNTIF('CHAMPIONSHIP HIGH ROLLER 200K'!$D$8:$D$72,$C77)+COUNTIF('PLO-NLH DEALER´S CHOICE PIJAMA'!$D$8:$D$27,$C77)+COUNTIF('Main Event SPT - Dia Final'!$D$8:$D$221,$C77)+COUNTIF('SECOND CHANCE'!$D$8:$D$86,$C77)+COUNTIF('HIGH ROLLER 50K'!$D$8:$D$38,$C77)+COUNTIF('OMAHA DEALER´S CHOICE'!$D$8:$D$30,$C77)</f>
        <v>3</v>
      </c>
      <c r="F77" s="8">
        <f>SUMIFS('200K OMAHA 5 K.O'!$C$8:$C$37,'200K OMAHA 5 K.O'!$D$8:$D$37,$C77)</f>
        <v>0</v>
      </c>
      <c r="G77" s="8">
        <f>SUMIFS(HORSE!$C$8:$C$26,HORSE!$D$8:$D$26,$C77)</f>
        <v>0</v>
      </c>
      <c r="H77" s="8">
        <f>SUMIFS('SUPER K.O'!$C$8:$C$41,'SUPER K.O'!$D$8:$D$41,$C77)</f>
        <v>10</v>
      </c>
      <c r="I77" s="8">
        <f>SUMIFS('8 GAME'!$C$8:$C$21,'8 GAME'!$D$8:$D$21,$C77)</f>
        <v>0</v>
      </c>
      <c r="J77" s="8">
        <f>SUMIFS('100K OMAHA MYSTERY BOUNTY'!$C$8:$C$32,'100K OMAHA MYSTERY BOUNTY'!$D$8:$D$32,$C77)</f>
        <v>0</v>
      </c>
      <c r="K77" s="8">
        <f>SUMIFS('CHAMPIONSHIP HIGH ROLLER 200K'!$C$8:$C$72,'CHAMPIONSHIP HIGH ROLLER 200K'!$D$8:$D$72,$C77)</f>
        <v>10</v>
      </c>
      <c r="L77" s="8">
        <f>SUMIFS('PLO-NLH DEALER´S CHOICE PIJAMA'!$C$8:$C$27,'PLO-NLH DEALER´S CHOICE PIJAMA'!$D$8:$D$27,$C77)</f>
        <v>0</v>
      </c>
      <c r="M77" s="8">
        <f>SUMIFS('Main Event SPT - Dia Final'!$C$8:$C$221,'Main Event SPT - Dia Final'!$D$8:$D$221,$C77)</f>
        <v>378</v>
      </c>
      <c r="N77" s="8">
        <f>SUMIFS('SECOND CHANCE'!$C$8:$C$86,'SECOND CHANCE'!$D$8:$D$86,$C77)</f>
        <v>0</v>
      </c>
      <c r="O77" s="8">
        <f>SUMIFS('HIGH ROLLER 50K'!$C$8:$C$38,'HIGH ROLLER 50K'!$D$8:$D$38,$C77)</f>
        <v>0</v>
      </c>
      <c r="P77" s="8">
        <f>SUMIFS('OMAHA DEALER´S CHOICE'!$C$8:$C$30,'OMAHA DEALER´S CHOICE'!$D$8:$D$30,$C77)</f>
        <v>0</v>
      </c>
    </row>
    <row r="78" spans="1:16">
      <c r="A78" s="4">
        <f t="shared" si="2"/>
        <v>72</v>
      </c>
      <c r="B78" s="5" t="s">
        <v>242</v>
      </c>
      <c r="C78" s="6" t="s">
        <v>243</v>
      </c>
      <c r="D78" s="7">
        <f t="shared" si="3"/>
        <v>398</v>
      </c>
      <c r="E78" s="4">
        <f>COUNTIF('200K OMAHA 5 K.O'!$D$8:$D$37,$C78)+COUNTIF(HORSE!$D$8:$D$26,$C78)+COUNTIF('SUPER K.O'!$D$8:$D$41,$C78)+COUNTIF('8 GAME'!$D$8:$D$21,$C78)+COUNTIF('100K OMAHA MYSTERY BOUNTY'!$D$8:$D$32,$C78)+COUNTIF('CHAMPIONSHIP HIGH ROLLER 200K'!$D$8:$D$72,$C78)+COUNTIF('PLO-NLH DEALER´S CHOICE PIJAMA'!$D$8:$D$27,$C78)+COUNTIF('Main Event SPT - Dia Final'!$D$8:$D$221,$C78)+COUNTIF('SECOND CHANCE'!$D$8:$D$86,$C78)+COUNTIF('HIGH ROLLER 50K'!$D$8:$D$38,$C78)+COUNTIF('OMAHA DEALER´S CHOICE'!$D$8:$D$30,$C78)</f>
        <v>3</v>
      </c>
      <c r="F78" s="8">
        <f>SUMIFS('200K OMAHA 5 K.O'!$C$8:$C$37,'200K OMAHA 5 K.O'!$D$8:$D$37,$C78)</f>
        <v>0</v>
      </c>
      <c r="G78" s="8">
        <f>SUMIFS(HORSE!$C$8:$C$26,HORSE!$D$8:$D$26,$C78)</f>
        <v>0</v>
      </c>
      <c r="H78" s="8">
        <f>SUMIFS('SUPER K.O'!$C$8:$C$41,'SUPER K.O'!$D$8:$D$41,$C78)</f>
        <v>0</v>
      </c>
      <c r="I78" s="8">
        <f>SUMIFS('8 GAME'!$C$8:$C$21,'8 GAME'!$D$8:$D$21,$C78)</f>
        <v>0</v>
      </c>
      <c r="J78" s="8">
        <f>SUMIFS('100K OMAHA MYSTERY BOUNTY'!$C$8:$C$32,'100K OMAHA MYSTERY BOUNTY'!$D$8:$D$32,$C78)</f>
        <v>0</v>
      </c>
      <c r="K78" s="8">
        <f>SUMIFS('CHAMPIONSHIP HIGH ROLLER 200K'!$C$8:$C$72,'CHAMPIONSHIP HIGH ROLLER 200K'!$D$8:$D$72,$C78)</f>
        <v>10</v>
      </c>
      <c r="L78" s="8">
        <f>SUMIFS('PLO-NLH DEALER´S CHOICE PIJAMA'!$C$8:$C$27,'PLO-NLH DEALER´S CHOICE PIJAMA'!$D$8:$D$27,$C78)</f>
        <v>0</v>
      </c>
      <c r="M78" s="8">
        <f>SUMIFS('Main Event SPT - Dia Final'!$C$8:$C$221,'Main Event SPT - Dia Final'!$D$8:$D$221,$C78)</f>
        <v>378</v>
      </c>
      <c r="N78" s="8">
        <f>SUMIFS('SECOND CHANCE'!$C$8:$C$86,'SECOND CHANCE'!$D$8:$D$86,$C78)</f>
        <v>10</v>
      </c>
      <c r="O78" s="8">
        <f>SUMIFS('HIGH ROLLER 50K'!$C$8:$C$38,'HIGH ROLLER 50K'!$D$8:$D$38,$C78)</f>
        <v>0</v>
      </c>
      <c r="P78" s="8">
        <f>SUMIFS('OMAHA DEALER´S CHOICE'!$C$8:$C$30,'OMAHA DEALER´S CHOICE'!$D$8:$D$30,$C78)</f>
        <v>0</v>
      </c>
    </row>
    <row r="79" spans="1:16">
      <c r="A79" s="4">
        <f t="shared" si="2"/>
        <v>75</v>
      </c>
      <c r="B79" s="5" t="s">
        <v>395</v>
      </c>
      <c r="C79" s="6" t="s">
        <v>396</v>
      </c>
      <c r="D79" s="7">
        <f t="shared" si="3"/>
        <v>397</v>
      </c>
      <c r="E79" s="4">
        <f>COUNTIF('200K OMAHA 5 K.O'!$D$8:$D$37,$C79)+COUNTIF(HORSE!$D$8:$D$26,$C79)+COUNTIF('SUPER K.O'!$D$8:$D$41,$C79)+COUNTIF('8 GAME'!$D$8:$D$21,$C79)+COUNTIF('100K OMAHA MYSTERY BOUNTY'!$D$8:$D$32,$C79)+COUNTIF('CHAMPIONSHIP HIGH ROLLER 200K'!$D$8:$D$72,$C79)+COUNTIF('PLO-NLH DEALER´S CHOICE PIJAMA'!$D$8:$D$27,$C79)+COUNTIF('Main Event SPT - Dia Final'!$D$8:$D$221,$C79)+COUNTIF('SECOND CHANCE'!$D$8:$D$86,$C79)+COUNTIF('HIGH ROLLER 50K'!$D$8:$D$38,$C79)+COUNTIF('OMAHA DEALER´S CHOICE'!$D$8:$D$30,$C79)</f>
        <v>2</v>
      </c>
      <c r="F79" s="8">
        <f>SUMIFS('200K OMAHA 5 K.O'!$C$8:$C$37,'200K OMAHA 5 K.O'!$D$8:$D$37,$C79)</f>
        <v>0</v>
      </c>
      <c r="G79" s="8">
        <f>SUMIFS(HORSE!$C$8:$C$26,HORSE!$D$8:$D$26,$C79)</f>
        <v>0</v>
      </c>
      <c r="H79" s="8">
        <f>SUMIFS('SUPER K.O'!$C$8:$C$41,'SUPER K.O'!$D$8:$D$41,$C79)</f>
        <v>0</v>
      </c>
      <c r="I79" s="8">
        <f>SUMIFS('8 GAME'!$C$8:$C$21,'8 GAME'!$D$8:$D$21,$C79)</f>
        <v>0</v>
      </c>
      <c r="J79" s="8">
        <f>SUMIFS('100K OMAHA MYSTERY BOUNTY'!$C$8:$C$32,'100K OMAHA MYSTERY BOUNTY'!$D$8:$D$32,$C79)</f>
        <v>0</v>
      </c>
      <c r="K79" s="8">
        <f>SUMIFS('CHAMPIONSHIP HIGH ROLLER 200K'!$C$8:$C$72,'CHAMPIONSHIP HIGH ROLLER 200K'!$D$8:$D$72,$C79)</f>
        <v>0</v>
      </c>
      <c r="L79" s="8">
        <f>SUMIFS('PLO-NLH DEALER´S CHOICE PIJAMA'!$C$8:$C$27,'PLO-NLH DEALER´S CHOICE PIJAMA'!$D$8:$D$27,$C79)</f>
        <v>0</v>
      </c>
      <c r="M79" s="8">
        <f>SUMIFS('Main Event SPT - Dia Final'!$C$8:$C$221,'Main Event SPT - Dia Final'!$D$8:$D$221,$C79)</f>
        <v>10</v>
      </c>
      <c r="N79" s="8">
        <f>SUMIFS('SECOND CHANCE'!$C$8:$C$86,'SECOND CHANCE'!$D$8:$D$86,$C79)</f>
        <v>387</v>
      </c>
      <c r="O79" s="8">
        <f>SUMIFS('HIGH ROLLER 50K'!$C$8:$C$38,'HIGH ROLLER 50K'!$D$8:$D$38,$C79)</f>
        <v>0</v>
      </c>
      <c r="P79" s="8">
        <f>SUMIFS('OMAHA DEALER´S CHOICE'!$C$8:$C$30,'OMAHA DEALER´S CHOICE'!$D$8:$D$30,$C79)</f>
        <v>0</v>
      </c>
    </row>
    <row r="80" spans="1:16">
      <c r="A80" s="4">
        <f t="shared" si="2"/>
        <v>76</v>
      </c>
      <c r="B80" s="5" t="s">
        <v>132</v>
      </c>
      <c r="C80" s="6" t="s">
        <v>133</v>
      </c>
      <c r="D80" s="7">
        <f t="shared" si="3"/>
        <v>394.5</v>
      </c>
      <c r="E80" s="4">
        <f>COUNTIF('200K OMAHA 5 K.O'!$D$8:$D$37,$C80)+COUNTIF(HORSE!$D$8:$D$26,$C80)+COUNTIF('SUPER K.O'!$D$8:$D$41,$C80)+COUNTIF('8 GAME'!$D$8:$D$21,$C80)+COUNTIF('100K OMAHA MYSTERY BOUNTY'!$D$8:$D$32,$C80)+COUNTIF('CHAMPIONSHIP HIGH ROLLER 200K'!$D$8:$D$72,$C80)+COUNTIF('PLO-NLH DEALER´S CHOICE PIJAMA'!$D$8:$D$27,$C80)+COUNTIF('Main Event SPT - Dia Final'!$D$8:$D$221,$C80)+COUNTIF('SECOND CHANCE'!$D$8:$D$86,$C80)+COUNTIF('HIGH ROLLER 50K'!$D$8:$D$38,$C80)+COUNTIF('OMAHA DEALER´S CHOICE'!$D$8:$D$30,$C80)</f>
        <v>4</v>
      </c>
      <c r="F80" s="8">
        <f>SUMIFS('200K OMAHA 5 K.O'!$C$8:$C$37,'200K OMAHA 5 K.O'!$D$8:$D$37,$C80)</f>
        <v>0</v>
      </c>
      <c r="G80" s="8">
        <f>SUMIFS(HORSE!$C$8:$C$26,HORSE!$D$8:$D$26,$C80)</f>
        <v>0</v>
      </c>
      <c r="H80" s="8">
        <f>SUMIFS('SUPER K.O'!$C$8:$C$41,'SUPER K.O'!$D$8:$D$41,$C80)</f>
        <v>10</v>
      </c>
      <c r="I80" s="8">
        <f>SUMIFS('8 GAME'!$C$8:$C$21,'8 GAME'!$D$8:$D$21,$C80)</f>
        <v>0</v>
      </c>
      <c r="J80" s="8">
        <f>SUMIFS('100K OMAHA MYSTERY BOUNTY'!$C$8:$C$32,'100K OMAHA MYSTERY BOUNTY'!$D$8:$D$32,$C80)</f>
        <v>0</v>
      </c>
      <c r="K80" s="8">
        <f>SUMIFS('CHAMPIONSHIP HIGH ROLLER 200K'!$C$8:$C$72,'CHAMPIONSHIP HIGH ROLLER 200K'!$D$8:$D$72,$C80)</f>
        <v>10</v>
      </c>
      <c r="L80" s="8">
        <f>SUMIFS('PLO-NLH DEALER´S CHOICE PIJAMA'!$C$8:$C$27,'PLO-NLH DEALER´S CHOICE PIJAMA'!$D$8:$D$27,$C80)</f>
        <v>0</v>
      </c>
      <c r="M80" s="8">
        <f>SUMIFS('Main Event SPT - Dia Final'!$C$8:$C$221,'Main Event SPT - Dia Final'!$D$8:$D$221,$C80)</f>
        <v>10</v>
      </c>
      <c r="N80" s="8">
        <f>SUMIFS('SECOND CHANCE'!$C$8:$C$86,'SECOND CHANCE'!$D$8:$D$86,$C80)</f>
        <v>0</v>
      </c>
      <c r="O80" s="8">
        <f>SUMIFS('HIGH ROLLER 50K'!$C$8:$C$38,'HIGH ROLLER 50K'!$D$8:$D$38,$C80)</f>
        <v>364.5</v>
      </c>
      <c r="P80" s="8">
        <f>SUMIFS('OMAHA DEALER´S CHOICE'!$C$8:$C$30,'OMAHA DEALER´S CHOICE'!$D$8:$D$30,$C80)</f>
        <v>0</v>
      </c>
    </row>
    <row r="81" spans="1:16">
      <c r="A81" s="4">
        <f t="shared" si="2"/>
        <v>77</v>
      </c>
      <c r="B81" s="5" t="s">
        <v>37</v>
      </c>
      <c r="C81" s="6" t="s">
        <v>38</v>
      </c>
      <c r="D81" s="7">
        <f t="shared" si="3"/>
        <v>388</v>
      </c>
      <c r="E81" s="4">
        <f>COUNTIF('200K OMAHA 5 K.O'!$D$8:$D$37,$C81)+COUNTIF(HORSE!$D$8:$D$26,$C81)+COUNTIF('SUPER K.O'!$D$8:$D$41,$C81)+COUNTIF('8 GAME'!$D$8:$D$21,$C81)+COUNTIF('100K OMAHA MYSTERY BOUNTY'!$D$8:$D$32,$C81)+COUNTIF('CHAMPIONSHIP HIGH ROLLER 200K'!$D$8:$D$72,$C81)+COUNTIF('PLO-NLH DEALER´S CHOICE PIJAMA'!$D$8:$D$27,$C81)+COUNTIF('Main Event SPT - Dia Final'!$D$8:$D$221,$C81)+COUNTIF('SECOND CHANCE'!$D$8:$D$86,$C81)+COUNTIF('HIGH ROLLER 50K'!$D$8:$D$38,$C81)+COUNTIF('OMAHA DEALER´S CHOICE'!$D$8:$D$30,$C81)</f>
        <v>2</v>
      </c>
      <c r="F81" s="8">
        <f>SUMIFS('200K OMAHA 5 K.O'!$C$8:$C$37,'200K OMAHA 5 K.O'!$D$8:$D$37,$C81)</f>
        <v>10</v>
      </c>
      <c r="G81" s="8">
        <f>SUMIFS(HORSE!$C$8:$C$26,HORSE!$D$8:$D$26,$C81)</f>
        <v>0</v>
      </c>
      <c r="H81" s="8">
        <f>SUMIFS('SUPER K.O'!$C$8:$C$41,'SUPER K.O'!$D$8:$D$41,$C81)</f>
        <v>0</v>
      </c>
      <c r="I81" s="8">
        <f>SUMIFS('8 GAME'!$C$8:$C$21,'8 GAME'!$D$8:$D$21,$C81)</f>
        <v>0</v>
      </c>
      <c r="J81" s="8">
        <f>SUMIFS('100K OMAHA MYSTERY BOUNTY'!$C$8:$C$32,'100K OMAHA MYSTERY BOUNTY'!$D$8:$D$32,$C81)</f>
        <v>0</v>
      </c>
      <c r="K81" s="8">
        <f>SUMIFS('CHAMPIONSHIP HIGH ROLLER 200K'!$C$8:$C$72,'CHAMPIONSHIP HIGH ROLLER 200K'!$D$8:$D$72,$C81)</f>
        <v>0</v>
      </c>
      <c r="L81" s="8">
        <f>SUMIFS('PLO-NLH DEALER´S CHOICE PIJAMA'!$C$8:$C$27,'PLO-NLH DEALER´S CHOICE PIJAMA'!$D$8:$D$27,$C81)</f>
        <v>0</v>
      </c>
      <c r="M81" s="8">
        <f>SUMIFS('Main Event SPT - Dia Final'!$C$8:$C$221,'Main Event SPT - Dia Final'!$D$8:$D$221,$C81)</f>
        <v>378</v>
      </c>
      <c r="N81" s="8">
        <f>SUMIFS('SECOND CHANCE'!$C$8:$C$86,'SECOND CHANCE'!$D$8:$D$86,$C81)</f>
        <v>0</v>
      </c>
      <c r="O81" s="8">
        <f>SUMIFS('HIGH ROLLER 50K'!$C$8:$C$38,'HIGH ROLLER 50K'!$D$8:$D$38,$C81)</f>
        <v>0</v>
      </c>
      <c r="P81" s="8">
        <f>SUMIFS('OMAHA DEALER´S CHOICE'!$C$8:$C$30,'OMAHA DEALER´S CHOICE'!$D$8:$D$30,$C81)</f>
        <v>0</v>
      </c>
    </row>
    <row r="82" spans="1:16">
      <c r="A82" s="4">
        <f t="shared" si="2"/>
        <v>77</v>
      </c>
      <c r="B82" s="5" t="s">
        <v>67</v>
      </c>
      <c r="C82" s="6" t="s">
        <v>68</v>
      </c>
      <c r="D82" s="7">
        <f t="shared" si="3"/>
        <v>388</v>
      </c>
      <c r="E82" s="4">
        <f>COUNTIF('200K OMAHA 5 K.O'!$D$8:$D$37,$C82)+COUNTIF(HORSE!$D$8:$D$26,$C82)+COUNTIF('SUPER K.O'!$D$8:$D$41,$C82)+COUNTIF('8 GAME'!$D$8:$D$21,$C82)+COUNTIF('100K OMAHA MYSTERY BOUNTY'!$D$8:$D$32,$C82)+COUNTIF('CHAMPIONSHIP HIGH ROLLER 200K'!$D$8:$D$72,$C82)+COUNTIF('PLO-NLH DEALER´S CHOICE PIJAMA'!$D$8:$D$27,$C82)+COUNTIF('Main Event SPT - Dia Final'!$D$8:$D$221,$C82)+COUNTIF('SECOND CHANCE'!$D$8:$D$86,$C82)+COUNTIF('HIGH ROLLER 50K'!$D$8:$D$38,$C82)+COUNTIF('OMAHA DEALER´S CHOICE'!$D$8:$D$30,$C82)</f>
        <v>2</v>
      </c>
      <c r="F82" s="8">
        <f>SUMIFS('200K OMAHA 5 K.O'!$C$8:$C$37,'200K OMAHA 5 K.O'!$D$8:$D$37,$C82)</f>
        <v>10</v>
      </c>
      <c r="G82" s="8">
        <f>SUMIFS(HORSE!$C$8:$C$26,HORSE!$D$8:$D$26,$C82)</f>
        <v>0</v>
      </c>
      <c r="H82" s="8">
        <f>SUMIFS('SUPER K.O'!$C$8:$C$41,'SUPER K.O'!$D$8:$D$41,$C82)</f>
        <v>0</v>
      </c>
      <c r="I82" s="8">
        <f>SUMIFS('8 GAME'!$C$8:$C$21,'8 GAME'!$D$8:$D$21,$C82)</f>
        <v>0</v>
      </c>
      <c r="J82" s="8">
        <f>SUMIFS('100K OMAHA MYSTERY BOUNTY'!$C$8:$C$32,'100K OMAHA MYSTERY BOUNTY'!$D$8:$D$32,$C82)</f>
        <v>0</v>
      </c>
      <c r="K82" s="8">
        <f>SUMIFS('CHAMPIONSHIP HIGH ROLLER 200K'!$C$8:$C$72,'CHAMPIONSHIP HIGH ROLLER 200K'!$D$8:$D$72,$C82)</f>
        <v>0</v>
      </c>
      <c r="L82" s="8">
        <f>SUMIFS('PLO-NLH DEALER´S CHOICE PIJAMA'!$C$8:$C$27,'PLO-NLH DEALER´S CHOICE PIJAMA'!$D$8:$D$27,$C82)</f>
        <v>0</v>
      </c>
      <c r="M82" s="8">
        <f>SUMIFS('Main Event SPT - Dia Final'!$C$8:$C$221,'Main Event SPT - Dia Final'!$D$8:$D$221,$C82)</f>
        <v>378</v>
      </c>
      <c r="N82" s="8">
        <f>SUMIFS('SECOND CHANCE'!$C$8:$C$86,'SECOND CHANCE'!$D$8:$D$86,$C82)</f>
        <v>0</v>
      </c>
      <c r="O82" s="8">
        <f>SUMIFS('HIGH ROLLER 50K'!$C$8:$C$38,'HIGH ROLLER 50K'!$D$8:$D$38,$C82)</f>
        <v>0</v>
      </c>
      <c r="P82" s="8">
        <f>SUMIFS('OMAHA DEALER´S CHOICE'!$C$8:$C$30,'OMAHA DEALER´S CHOICE'!$D$8:$D$30,$C82)</f>
        <v>0</v>
      </c>
    </row>
    <row r="83" spans="1:16">
      <c r="A83" s="4">
        <f t="shared" si="2"/>
        <v>77</v>
      </c>
      <c r="B83" s="5" t="s">
        <v>262</v>
      </c>
      <c r="C83" s="6" t="s">
        <v>263</v>
      </c>
      <c r="D83" s="7">
        <f t="shared" si="3"/>
        <v>388</v>
      </c>
      <c r="E83" s="4">
        <f>COUNTIF('200K OMAHA 5 K.O'!$D$8:$D$37,$C83)+COUNTIF(HORSE!$D$8:$D$26,$C83)+COUNTIF('SUPER K.O'!$D$8:$D$41,$C83)+COUNTIF('8 GAME'!$D$8:$D$21,$C83)+COUNTIF('100K OMAHA MYSTERY BOUNTY'!$D$8:$D$32,$C83)+COUNTIF('CHAMPIONSHIP HIGH ROLLER 200K'!$D$8:$D$72,$C83)+COUNTIF('PLO-NLH DEALER´S CHOICE PIJAMA'!$D$8:$D$27,$C83)+COUNTIF('Main Event SPT - Dia Final'!$D$8:$D$221,$C83)+COUNTIF('SECOND CHANCE'!$D$8:$D$86,$C83)+COUNTIF('HIGH ROLLER 50K'!$D$8:$D$38,$C83)+COUNTIF('OMAHA DEALER´S CHOICE'!$D$8:$D$30,$C83)</f>
        <v>2</v>
      </c>
      <c r="F83" s="8">
        <f>SUMIFS('200K OMAHA 5 K.O'!$C$8:$C$37,'200K OMAHA 5 K.O'!$D$8:$D$37,$C83)</f>
        <v>0</v>
      </c>
      <c r="G83" s="8">
        <f>SUMIFS(HORSE!$C$8:$C$26,HORSE!$D$8:$D$26,$C83)</f>
        <v>0</v>
      </c>
      <c r="H83" s="8">
        <f>SUMIFS('SUPER K.O'!$C$8:$C$41,'SUPER K.O'!$D$8:$D$41,$C83)</f>
        <v>0</v>
      </c>
      <c r="I83" s="8">
        <f>SUMIFS('8 GAME'!$C$8:$C$21,'8 GAME'!$D$8:$D$21,$C83)</f>
        <v>0</v>
      </c>
      <c r="J83" s="8">
        <f>SUMIFS('100K OMAHA MYSTERY BOUNTY'!$C$8:$C$32,'100K OMAHA MYSTERY BOUNTY'!$D$8:$D$32,$C83)</f>
        <v>0</v>
      </c>
      <c r="K83" s="8">
        <f>SUMIFS('CHAMPIONSHIP HIGH ROLLER 200K'!$C$8:$C$72,'CHAMPIONSHIP HIGH ROLLER 200K'!$D$8:$D$72,$C83)</f>
        <v>0</v>
      </c>
      <c r="L83" s="8">
        <f>SUMIFS('PLO-NLH DEALER´S CHOICE PIJAMA'!$C$8:$C$27,'PLO-NLH DEALER´S CHOICE PIJAMA'!$D$8:$D$27,$C83)</f>
        <v>10</v>
      </c>
      <c r="M83" s="8">
        <f>SUMIFS('Main Event SPT - Dia Final'!$C$8:$C$221,'Main Event SPT - Dia Final'!$D$8:$D$221,$C83)</f>
        <v>378</v>
      </c>
      <c r="N83" s="8">
        <f>SUMIFS('SECOND CHANCE'!$C$8:$C$86,'SECOND CHANCE'!$D$8:$D$86,$C83)</f>
        <v>0</v>
      </c>
      <c r="O83" s="8">
        <f>SUMIFS('HIGH ROLLER 50K'!$C$8:$C$38,'HIGH ROLLER 50K'!$D$8:$D$38,$C83)</f>
        <v>0</v>
      </c>
      <c r="P83" s="8">
        <f>SUMIFS('OMAHA DEALER´S CHOICE'!$C$8:$C$30,'OMAHA DEALER´S CHOICE'!$D$8:$D$30,$C83)</f>
        <v>0</v>
      </c>
    </row>
    <row r="84" spans="1:16">
      <c r="A84" s="4">
        <f t="shared" si="2"/>
        <v>77</v>
      </c>
      <c r="B84" s="5" t="s">
        <v>234</v>
      </c>
      <c r="C84" s="6" t="s">
        <v>235</v>
      </c>
      <c r="D84" s="7">
        <f t="shared" si="3"/>
        <v>388</v>
      </c>
      <c r="E84" s="4">
        <f>COUNTIF('200K OMAHA 5 K.O'!$D$8:$D$37,$C84)+COUNTIF(HORSE!$D$8:$D$26,$C84)+COUNTIF('SUPER K.O'!$D$8:$D$41,$C84)+COUNTIF('8 GAME'!$D$8:$D$21,$C84)+COUNTIF('100K OMAHA MYSTERY BOUNTY'!$D$8:$D$32,$C84)+COUNTIF('CHAMPIONSHIP HIGH ROLLER 200K'!$D$8:$D$72,$C84)+COUNTIF('PLO-NLH DEALER´S CHOICE PIJAMA'!$D$8:$D$27,$C84)+COUNTIF('Main Event SPT - Dia Final'!$D$8:$D$221,$C84)+COUNTIF('SECOND CHANCE'!$D$8:$D$86,$C84)+COUNTIF('HIGH ROLLER 50K'!$D$8:$D$38,$C84)+COUNTIF('OMAHA DEALER´S CHOICE'!$D$8:$D$30,$C84)</f>
        <v>2</v>
      </c>
      <c r="F84" s="8">
        <f>SUMIFS('200K OMAHA 5 K.O'!$C$8:$C$37,'200K OMAHA 5 K.O'!$D$8:$D$37,$C84)</f>
        <v>0</v>
      </c>
      <c r="G84" s="8">
        <f>SUMIFS(HORSE!$C$8:$C$26,HORSE!$D$8:$D$26,$C84)</f>
        <v>0</v>
      </c>
      <c r="H84" s="8">
        <f>SUMIFS('SUPER K.O'!$C$8:$C$41,'SUPER K.O'!$D$8:$D$41,$C84)</f>
        <v>0</v>
      </c>
      <c r="I84" s="8">
        <f>SUMIFS('8 GAME'!$C$8:$C$21,'8 GAME'!$D$8:$D$21,$C84)</f>
        <v>0</v>
      </c>
      <c r="J84" s="8">
        <f>SUMIFS('100K OMAHA MYSTERY BOUNTY'!$C$8:$C$32,'100K OMAHA MYSTERY BOUNTY'!$D$8:$D$32,$C84)</f>
        <v>0</v>
      </c>
      <c r="K84" s="8">
        <f>SUMIFS('CHAMPIONSHIP HIGH ROLLER 200K'!$C$8:$C$72,'CHAMPIONSHIP HIGH ROLLER 200K'!$D$8:$D$72,$C84)</f>
        <v>10</v>
      </c>
      <c r="L84" s="8">
        <f>SUMIFS('PLO-NLH DEALER´S CHOICE PIJAMA'!$C$8:$C$27,'PLO-NLH DEALER´S CHOICE PIJAMA'!$D$8:$D$27,$C84)</f>
        <v>0</v>
      </c>
      <c r="M84" s="8">
        <f>SUMIFS('Main Event SPT - Dia Final'!$C$8:$C$221,'Main Event SPT - Dia Final'!$D$8:$D$221,$C84)</f>
        <v>378</v>
      </c>
      <c r="N84" s="8">
        <f>SUMIFS('SECOND CHANCE'!$C$8:$C$86,'SECOND CHANCE'!$D$8:$D$86,$C84)</f>
        <v>0</v>
      </c>
      <c r="O84" s="8">
        <f>SUMIFS('HIGH ROLLER 50K'!$C$8:$C$38,'HIGH ROLLER 50K'!$D$8:$D$38,$C84)</f>
        <v>0</v>
      </c>
      <c r="P84" s="8">
        <f>SUMIFS('OMAHA DEALER´S CHOICE'!$C$8:$C$30,'OMAHA DEALER´S CHOICE'!$D$8:$D$30,$C84)</f>
        <v>0</v>
      </c>
    </row>
    <row r="85" spans="1:16">
      <c r="A85" s="4">
        <f t="shared" si="2"/>
        <v>77</v>
      </c>
      <c r="B85" s="5" t="s">
        <v>238</v>
      </c>
      <c r="C85" s="6" t="s">
        <v>239</v>
      </c>
      <c r="D85" s="7">
        <f t="shared" si="3"/>
        <v>388</v>
      </c>
      <c r="E85" s="4">
        <f>COUNTIF('200K OMAHA 5 K.O'!$D$8:$D$37,$C85)+COUNTIF(HORSE!$D$8:$D$26,$C85)+COUNTIF('SUPER K.O'!$D$8:$D$41,$C85)+COUNTIF('8 GAME'!$D$8:$D$21,$C85)+COUNTIF('100K OMAHA MYSTERY BOUNTY'!$D$8:$D$32,$C85)+COUNTIF('CHAMPIONSHIP HIGH ROLLER 200K'!$D$8:$D$72,$C85)+COUNTIF('PLO-NLH DEALER´S CHOICE PIJAMA'!$D$8:$D$27,$C85)+COUNTIF('Main Event SPT - Dia Final'!$D$8:$D$221,$C85)+COUNTIF('SECOND CHANCE'!$D$8:$D$86,$C85)+COUNTIF('HIGH ROLLER 50K'!$D$8:$D$38,$C85)+COUNTIF('OMAHA DEALER´S CHOICE'!$D$8:$D$30,$C85)</f>
        <v>2</v>
      </c>
      <c r="F85" s="8">
        <f>SUMIFS('200K OMAHA 5 K.O'!$C$8:$C$37,'200K OMAHA 5 K.O'!$D$8:$D$37,$C85)</f>
        <v>0</v>
      </c>
      <c r="G85" s="8">
        <f>SUMIFS(HORSE!$C$8:$C$26,HORSE!$D$8:$D$26,$C85)</f>
        <v>0</v>
      </c>
      <c r="H85" s="8">
        <f>SUMIFS('SUPER K.O'!$C$8:$C$41,'SUPER K.O'!$D$8:$D$41,$C85)</f>
        <v>0</v>
      </c>
      <c r="I85" s="8">
        <f>SUMIFS('8 GAME'!$C$8:$C$21,'8 GAME'!$D$8:$D$21,$C85)</f>
        <v>0</v>
      </c>
      <c r="J85" s="8">
        <f>SUMIFS('100K OMAHA MYSTERY BOUNTY'!$C$8:$C$32,'100K OMAHA MYSTERY BOUNTY'!$D$8:$D$32,$C85)</f>
        <v>0</v>
      </c>
      <c r="K85" s="8">
        <f>SUMIFS('CHAMPIONSHIP HIGH ROLLER 200K'!$C$8:$C$72,'CHAMPIONSHIP HIGH ROLLER 200K'!$D$8:$D$72,$C85)</f>
        <v>10</v>
      </c>
      <c r="L85" s="8">
        <f>SUMIFS('PLO-NLH DEALER´S CHOICE PIJAMA'!$C$8:$C$27,'PLO-NLH DEALER´S CHOICE PIJAMA'!$D$8:$D$27,$C85)</f>
        <v>0</v>
      </c>
      <c r="M85" s="8">
        <f>SUMIFS('Main Event SPT - Dia Final'!$C$8:$C$221,'Main Event SPT - Dia Final'!$D$8:$D$221,$C85)</f>
        <v>378</v>
      </c>
      <c r="N85" s="8">
        <f>SUMIFS('SECOND CHANCE'!$C$8:$C$86,'SECOND CHANCE'!$D$8:$D$86,$C85)</f>
        <v>0</v>
      </c>
      <c r="O85" s="8">
        <f>SUMIFS('HIGH ROLLER 50K'!$C$8:$C$38,'HIGH ROLLER 50K'!$D$8:$D$38,$C85)</f>
        <v>0</v>
      </c>
      <c r="P85" s="8">
        <f>SUMIFS('OMAHA DEALER´S CHOICE'!$C$8:$C$30,'OMAHA DEALER´S CHOICE'!$D$8:$D$30,$C85)</f>
        <v>0</v>
      </c>
    </row>
    <row r="86" spans="1:16">
      <c r="A86" s="4">
        <f t="shared" si="2"/>
        <v>77</v>
      </c>
      <c r="B86" s="5" t="s">
        <v>287</v>
      </c>
      <c r="C86" s="6" t="s">
        <v>288</v>
      </c>
      <c r="D86" s="7">
        <f t="shared" si="3"/>
        <v>388</v>
      </c>
      <c r="E86" s="4">
        <f>COUNTIF('200K OMAHA 5 K.O'!$D$8:$D$37,$C86)+COUNTIF(HORSE!$D$8:$D$26,$C86)+COUNTIF('SUPER K.O'!$D$8:$D$41,$C86)+COUNTIF('8 GAME'!$D$8:$D$21,$C86)+COUNTIF('100K OMAHA MYSTERY BOUNTY'!$D$8:$D$32,$C86)+COUNTIF('CHAMPIONSHIP HIGH ROLLER 200K'!$D$8:$D$72,$C86)+COUNTIF('PLO-NLH DEALER´S CHOICE PIJAMA'!$D$8:$D$27,$C86)+COUNTIF('Main Event SPT - Dia Final'!$D$8:$D$221,$C86)+COUNTIF('SECOND CHANCE'!$D$8:$D$86,$C86)+COUNTIF('HIGH ROLLER 50K'!$D$8:$D$38,$C86)+COUNTIF('OMAHA DEALER´S CHOICE'!$D$8:$D$30,$C86)</f>
        <v>2</v>
      </c>
      <c r="F86" s="8">
        <f>SUMIFS('200K OMAHA 5 K.O'!$C$8:$C$37,'200K OMAHA 5 K.O'!$D$8:$D$37,$C86)</f>
        <v>0</v>
      </c>
      <c r="G86" s="8">
        <f>SUMIFS(HORSE!$C$8:$C$26,HORSE!$D$8:$D$26,$C86)</f>
        <v>0</v>
      </c>
      <c r="H86" s="8">
        <f>SUMIFS('SUPER K.O'!$C$8:$C$41,'SUPER K.O'!$D$8:$D$41,$C86)</f>
        <v>0</v>
      </c>
      <c r="I86" s="8">
        <f>SUMIFS('8 GAME'!$C$8:$C$21,'8 GAME'!$D$8:$D$21,$C86)</f>
        <v>0</v>
      </c>
      <c r="J86" s="8">
        <f>SUMIFS('100K OMAHA MYSTERY BOUNTY'!$C$8:$C$32,'100K OMAHA MYSTERY BOUNTY'!$D$8:$D$32,$C86)</f>
        <v>0</v>
      </c>
      <c r="K86" s="8">
        <f>SUMIFS('CHAMPIONSHIP HIGH ROLLER 200K'!$C$8:$C$72,'CHAMPIONSHIP HIGH ROLLER 200K'!$D$8:$D$72,$C86)</f>
        <v>0</v>
      </c>
      <c r="L86" s="8">
        <f>SUMIFS('PLO-NLH DEALER´S CHOICE PIJAMA'!$C$8:$C$27,'PLO-NLH DEALER´S CHOICE PIJAMA'!$D$8:$D$27,$C86)</f>
        <v>0</v>
      </c>
      <c r="M86" s="8">
        <f>SUMIFS('Main Event SPT - Dia Final'!$C$8:$C$221,'Main Event SPT - Dia Final'!$D$8:$D$221,$C86)</f>
        <v>378</v>
      </c>
      <c r="N86" s="8">
        <f>SUMIFS('SECOND CHANCE'!$C$8:$C$86,'SECOND CHANCE'!$D$8:$D$86,$C86)</f>
        <v>10</v>
      </c>
      <c r="O86" s="8">
        <f>SUMIFS('HIGH ROLLER 50K'!$C$8:$C$38,'HIGH ROLLER 50K'!$D$8:$D$38,$C86)</f>
        <v>0</v>
      </c>
      <c r="P86" s="8">
        <f>SUMIFS('OMAHA DEALER´S CHOICE'!$C$8:$C$30,'OMAHA DEALER´S CHOICE'!$D$8:$D$30,$C86)</f>
        <v>0</v>
      </c>
    </row>
    <row r="87" spans="1:16">
      <c r="A87" s="4">
        <f t="shared" si="2"/>
        <v>77</v>
      </c>
      <c r="B87" s="5" t="s">
        <v>285</v>
      </c>
      <c r="C87" s="6" t="s">
        <v>286</v>
      </c>
      <c r="D87" s="7">
        <f t="shared" si="3"/>
        <v>388</v>
      </c>
      <c r="E87" s="4">
        <f>COUNTIF('200K OMAHA 5 K.O'!$D$8:$D$37,$C87)+COUNTIF(HORSE!$D$8:$D$26,$C87)+COUNTIF('SUPER K.O'!$D$8:$D$41,$C87)+COUNTIF('8 GAME'!$D$8:$D$21,$C87)+COUNTIF('100K OMAHA MYSTERY BOUNTY'!$D$8:$D$32,$C87)+COUNTIF('CHAMPIONSHIP HIGH ROLLER 200K'!$D$8:$D$72,$C87)+COUNTIF('PLO-NLH DEALER´S CHOICE PIJAMA'!$D$8:$D$27,$C87)+COUNTIF('Main Event SPT - Dia Final'!$D$8:$D$221,$C87)+COUNTIF('SECOND CHANCE'!$D$8:$D$86,$C87)+COUNTIF('HIGH ROLLER 50K'!$D$8:$D$38,$C87)+COUNTIF('OMAHA DEALER´S CHOICE'!$D$8:$D$30,$C87)</f>
        <v>2</v>
      </c>
      <c r="F87" s="8">
        <f>SUMIFS('200K OMAHA 5 K.O'!$C$8:$C$37,'200K OMAHA 5 K.O'!$D$8:$D$37,$C87)</f>
        <v>0</v>
      </c>
      <c r="G87" s="8">
        <f>SUMIFS(HORSE!$C$8:$C$26,HORSE!$D$8:$D$26,$C87)</f>
        <v>0</v>
      </c>
      <c r="H87" s="8">
        <f>SUMIFS('SUPER K.O'!$C$8:$C$41,'SUPER K.O'!$D$8:$D$41,$C87)</f>
        <v>0</v>
      </c>
      <c r="I87" s="8">
        <f>SUMIFS('8 GAME'!$C$8:$C$21,'8 GAME'!$D$8:$D$21,$C87)</f>
        <v>0</v>
      </c>
      <c r="J87" s="8">
        <f>SUMIFS('100K OMAHA MYSTERY BOUNTY'!$C$8:$C$32,'100K OMAHA MYSTERY BOUNTY'!$D$8:$D$32,$C87)</f>
        <v>0</v>
      </c>
      <c r="K87" s="8">
        <f>SUMIFS('CHAMPIONSHIP HIGH ROLLER 200K'!$C$8:$C$72,'CHAMPIONSHIP HIGH ROLLER 200K'!$D$8:$D$72,$C87)</f>
        <v>0</v>
      </c>
      <c r="L87" s="8">
        <f>SUMIFS('PLO-NLH DEALER´S CHOICE PIJAMA'!$C$8:$C$27,'PLO-NLH DEALER´S CHOICE PIJAMA'!$D$8:$D$27,$C87)</f>
        <v>0</v>
      </c>
      <c r="M87" s="8">
        <f>SUMIFS('Main Event SPT - Dia Final'!$C$8:$C$221,'Main Event SPT - Dia Final'!$D$8:$D$221,$C87)</f>
        <v>378</v>
      </c>
      <c r="N87" s="8">
        <f>SUMIFS('SECOND CHANCE'!$C$8:$C$86,'SECOND CHANCE'!$D$8:$D$86,$C87)</f>
        <v>10</v>
      </c>
      <c r="O87" s="8">
        <f>SUMIFS('HIGH ROLLER 50K'!$C$8:$C$38,'HIGH ROLLER 50K'!$D$8:$D$38,$C87)</f>
        <v>0</v>
      </c>
      <c r="P87" s="8">
        <f>SUMIFS('OMAHA DEALER´S CHOICE'!$C$8:$C$30,'OMAHA DEALER´S CHOICE'!$D$8:$D$30,$C87)</f>
        <v>0</v>
      </c>
    </row>
    <row r="88" spans="1:16">
      <c r="A88" s="4">
        <f t="shared" si="2"/>
        <v>77</v>
      </c>
      <c r="B88" s="5" t="s">
        <v>299</v>
      </c>
      <c r="C88" s="6" t="s">
        <v>300</v>
      </c>
      <c r="D88" s="7">
        <f t="shared" si="3"/>
        <v>388</v>
      </c>
      <c r="E88" s="4">
        <f>COUNTIF('200K OMAHA 5 K.O'!$D$8:$D$37,$C88)+COUNTIF(HORSE!$D$8:$D$26,$C88)+COUNTIF('SUPER K.O'!$D$8:$D$41,$C88)+COUNTIF('8 GAME'!$D$8:$D$21,$C88)+COUNTIF('100K OMAHA MYSTERY BOUNTY'!$D$8:$D$32,$C88)+COUNTIF('CHAMPIONSHIP HIGH ROLLER 200K'!$D$8:$D$72,$C88)+COUNTIF('PLO-NLH DEALER´S CHOICE PIJAMA'!$D$8:$D$27,$C88)+COUNTIF('Main Event SPT - Dia Final'!$D$8:$D$221,$C88)+COUNTIF('SECOND CHANCE'!$D$8:$D$86,$C88)+COUNTIF('HIGH ROLLER 50K'!$D$8:$D$38,$C88)+COUNTIF('OMAHA DEALER´S CHOICE'!$D$8:$D$30,$C88)</f>
        <v>2</v>
      </c>
      <c r="F88" s="8">
        <f>SUMIFS('200K OMAHA 5 K.O'!$C$8:$C$37,'200K OMAHA 5 K.O'!$D$8:$D$37,$C88)</f>
        <v>0</v>
      </c>
      <c r="G88" s="8">
        <f>SUMIFS(HORSE!$C$8:$C$26,HORSE!$D$8:$D$26,$C88)</f>
        <v>0</v>
      </c>
      <c r="H88" s="8">
        <f>SUMIFS('SUPER K.O'!$C$8:$C$41,'SUPER K.O'!$D$8:$D$41,$C88)</f>
        <v>0</v>
      </c>
      <c r="I88" s="8">
        <f>SUMIFS('8 GAME'!$C$8:$C$21,'8 GAME'!$D$8:$D$21,$C88)</f>
        <v>0</v>
      </c>
      <c r="J88" s="8">
        <f>SUMIFS('100K OMAHA MYSTERY BOUNTY'!$C$8:$C$32,'100K OMAHA MYSTERY BOUNTY'!$D$8:$D$32,$C88)</f>
        <v>0</v>
      </c>
      <c r="K88" s="8">
        <f>SUMIFS('CHAMPIONSHIP HIGH ROLLER 200K'!$C$8:$C$72,'CHAMPIONSHIP HIGH ROLLER 200K'!$D$8:$D$72,$C88)</f>
        <v>0</v>
      </c>
      <c r="L88" s="8">
        <f>SUMIFS('PLO-NLH DEALER´S CHOICE PIJAMA'!$C$8:$C$27,'PLO-NLH DEALER´S CHOICE PIJAMA'!$D$8:$D$27,$C88)</f>
        <v>0</v>
      </c>
      <c r="M88" s="8">
        <f>SUMIFS('Main Event SPT - Dia Final'!$C$8:$C$221,'Main Event SPT - Dia Final'!$D$8:$D$221,$C88)</f>
        <v>378</v>
      </c>
      <c r="N88" s="8">
        <f>SUMIFS('SECOND CHANCE'!$C$8:$C$86,'SECOND CHANCE'!$D$8:$D$86,$C88)</f>
        <v>10</v>
      </c>
      <c r="O88" s="8">
        <f>SUMIFS('HIGH ROLLER 50K'!$C$8:$C$38,'HIGH ROLLER 50K'!$D$8:$D$38,$C88)</f>
        <v>0</v>
      </c>
      <c r="P88" s="8">
        <f>SUMIFS('OMAHA DEALER´S CHOICE'!$C$8:$C$30,'OMAHA DEALER´S CHOICE'!$D$8:$D$30,$C88)</f>
        <v>0</v>
      </c>
    </row>
    <row r="89" spans="1:16">
      <c r="A89" s="4">
        <f t="shared" si="2"/>
        <v>77</v>
      </c>
      <c r="B89" s="5" t="s">
        <v>295</v>
      </c>
      <c r="C89" s="6" t="s">
        <v>296</v>
      </c>
      <c r="D89" s="7">
        <f t="shared" si="3"/>
        <v>388</v>
      </c>
      <c r="E89" s="4">
        <f>COUNTIF('200K OMAHA 5 K.O'!$D$8:$D$37,$C89)+COUNTIF(HORSE!$D$8:$D$26,$C89)+COUNTIF('SUPER K.O'!$D$8:$D$41,$C89)+COUNTIF('8 GAME'!$D$8:$D$21,$C89)+COUNTIF('100K OMAHA MYSTERY BOUNTY'!$D$8:$D$32,$C89)+COUNTIF('CHAMPIONSHIP HIGH ROLLER 200K'!$D$8:$D$72,$C89)+COUNTIF('PLO-NLH DEALER´S CHOICE PIJAMA'!$D$8:$D$27,$C89)+COUNTIF('Main Event SPT - Dia Final'!$D$8:$D$221,$C89)+COUNTIF('SECOND CHANCE'!$D$8:$D$86,$C89)+COUNTIF('HIGH ROLLER 50K'!$D$8:$D$38,$C89)+COUNTIF('OMAHA DEALER´S CHOICE'!$D$8:$D$30,$C89)</f>
        <v>2</v>
      </c>
      <c r="F89" s="8">
        <f>SUMIFS('200K OMAHA 5 K.O'!$C$8:$C$37,'200K OMAHA 5 K.O'!$D$8:$D$37,$C89)</f>
        <v>0</v>
      </c>
      <c r="G89" s="8">
        <f>SUMIFS(HORSE!$C$8:$C$26,HORSE!$D$8:$D$26,$C89)</f>
        <v>0</v>
      </c>
      <c r="H89" s="8">
        <f>SUMIFS('SUPER K.O'!$C$8:$C$41,'SUPER K.O'!$D$8:$D$41,$C89)</f>
        <v>0</v>
      </c>
      <c r="I89" s="8">
        <f>SUMIFS('8 GAME'!$C$8:$C$21,'8 GAME'!$D$8:$D$21,$C89)</f>
        <v>0</v>
      </c>
      <c r="J89" s="8">
        <f>SUMIFS('100K OMAHA MYSTERY BOUNTY'!$C$8:$C$32,'100K OMAHA MYSTERY BOUNTY'!$D$8:$D$32,$C89)</f>
        <v>0</v>
      </c>
      <c r="K89" s="8">
        <f>SUMIFS('CHAMPIONSHIP HIGH ROLLER 200K'!$C$8:$C$72,'CHAMPIONSHIP HIGH ROLLER 200K'!$D$8:$D$72,$C89)</f>
        <v>0</v>
      </c>
      <c r="L89" s="8">
        <f>SUMIFS('PLO-NLH DEALER´S CHOICE PIJAMA'!$C$8:$C$27,'PLO-NLH DEALER´S CHOICE PIJAMA'!$D$8:$D$27,$C89)</f>
        <v>0</v>
      </c>
      <c r="M89" s="8">
        <f>SUMIFS('Main Event SPT - Dia Final'!$C$8:$C$221,'Main Event SPT - Dia Final'!$D$8:$D$221,$C89)</f>
        <v>378</v>
      </c>
      <c r="N89" s="8">
        <f>SUMIFS('SECOND CHANCE'!$C$8:$C$86,'SECOND CHANCE'!$D$8:$D$86,$C89)</f>
        <v>10</v>
      </c>
      <c r="O89" s="8">
        <f>SUMIFS('HIGH ROLLER 50K'!$C$8:$C$38,'HIGH ROLLER 50K'!$D$8:$D$38,$C89)</f>
        <v>0</v>
      </c>
      <c r="P89" s="8">
        <f>SUMIFS('OMAHA DEALER´S CHOICE'!$C$8:$C$30,'OMAHA DEALER´S CHOICE'!$D$8:$D$30,$C89)</f>
        <v>0</v>
      </c>
    </row>
    <row r="90" spans="1:16">
      <c r="A90" s="4">
        <f t="shared" si="2"/>
        <v>77</v>
      </c>
      <c r="B90" s="5" t="s">
        <v>317</v>
      </c>
      <c r="C90" s="6" t="s">
        <v>318</v>
      </c>
      <c r="D90" s="7">
        <f t="shared" si="3"/>
        <v>388</v>
      </c>
      <c r="E90" s="4">
        <f>COUNTIF('200K OMAHA 5 K.O'!$D$8:$D$37,$C90)+COUNTIF(HORSE!$D$8:$D$26,$C90)+COUNTIF('SUPER K.O'!$D$8:$D$41,$C90)+COUNTIF('8 GAME'!$D$8:$D$21,$C90)+COUNTIF('100K OMAHA MYSTERY BOUNTY'!$D$8:$D$32,$C90)+COUNTIF('CHAMPIONSHIP HIGH ROLLER 200K'!$D$8:$D$72,$C90)+COUNTIF('PLO-NLH DEALER´S CHOICE PIJAMA'!$D$8:$D$27,$C90)+COUNTIF('Main Event SPT - Dia Final'!$D$8:$D$221,$C90)+COUNTIF('SECOND CHANCE'!$D$8:$D$86,$C90)+COUNTIF('HIGH ROLLER 50K'!$D$8:$D$38,$C90)+COUNTIF('OMAHA DEALER´S CHOICE'!$D$8:$D$30,$C90)</f>
        <v>2</v>
      </c>
      <c r="F90" s="8">
        <f>SUMIFS('200K OMAHA 5 K.O'!$C$8:$C$37,'200K OMAHA 5 K.O'!$D$8:$D$37,$C90)</f>
        <v>0</v>
      </c>
      <c r="G90" s="8">
        <f>SUMIFS(HORSE!$C$8:$C$26,HORSE!$D$8:$D$26,$C90)</f>
        <v>0</v>
      </c>
      <c r="H90" s="8">
        <f>SUMIFS('SUPER K.O'!$C$8:$C$41,'SUPER K.O'!$D$8:$D$41,$C90)</f>
        <v>0</v>
      </c>
      <c r="I90" s="8">
        <f>SUMIFS('8 GAME'!$C$8:$C$21,'8 GAME'!$D$8:$D$21,$C90)</f>
        <v>0</v>
      </c>
      <c r="J90" s="8">
        <f>SUMIFS('100K OMAHA MYSTERY BOUNTY'!$C$8:$C$32,'100K OMAHA MYSTERY BOUNTY'!$D$8:$D$32,$C90)</f>
        <v>0</v>
      </c>
      <c r="K90" s="8">
        <f>SUMIFS('CHAMPIONSHIP HIGH ROLLER 200K'!$C$8:$C$72,'CHAMPIONSHIP HIGH ROLLER 200K'!$D$8:$D$72,$C90)</f>
        <v>0</v>
      </c>
      <c r="L90" s="8">
        <f>SUMIFS('PLO-NLH DEALER´S CHOICE PIJAMA'!$C$8:$C$27,'PLO-NLH DEALER´S CHOICE PIJAMA'!$D$8:$D$27,$C90)</f>
        <v>0</v>
      </c>
      <c r="M90" s="8">
        <f>SUMIFS('Main Event SPT - Dia Final'!$C$8:$C$221,'Main Event SPT - Dia Final'!$D$8:$D$221,$C90)</f>
        <v>378</v>
      </c>
      <c r="N90" s="8">
        <f>SUMIFS('SECOND CHANCE'!$C$8:$C$86,'SECOND CHANCE'!$D$8:$D$86,$C90)</f>
        <v>10</v>
      </c>
      <c r="O90" s="8">
        <f>SUMIFS('HIGH ROLLER 50K'!$C$8:$C$38,'HIGH ROLLER 50K'!$D$8:$D$38,$C90)</f>
        <v>0</v>
      </c>
      <c r="P90" s="8">
        <f>SUMIFS('OMAHA DEALER´S CHOICE'!$C$8:$C$30,'OMAHA DEALER´S CHOICE'!$D$8:$D$30,$C90)</f>
        <v>0</v>
      </c>
    </row>
    <row r="91" spans="1:16">
      <c r="A91" s="4">
        <f t="shared" si="2"/>
        <v>77</v>
      </c>
      <c r="B91" s="5" t="s">
        <v>319</v>
      </c>
      <c r="C91" s="6" t="s">
        <v>320</v>
      </c>
      <c r="D91" s="7">
        <f t="shared" si="3"/>
        <v>388</v>
      </c>
      <c r="E91" s="4">
        <f>COUNTIF('200K OMAHA 5 K.O'!$D$8:$D$37,$C91)+COUNTIF(HORSE!$D$8:$D$26,$C91)+COUNTIF('SUPER K.O'!$D$8:$D$41,$C91)+COUNTIF('8 GAME'!$D$8:$D$21,$C91)+COUNTIF('100K OMAHA MYSTERY BOUNTY'!$D$8:$D$32,$C91)+COUNTIF('CHAMPIONSHIP HIGH ROLLER 200K'!$D$8:$D$72,$C91)+COUNTIF('PLO-NLH DEALER´S CHOICE PIJAMA'!$D$8:$D$27,$C91)+COUNTIF('Main Event SPT - Dia Final'!$D$8:$D$221,$C91)+COUNTIF('SECOND CHANCE'!$D$8:$D$86,$C91)+COUNTIF('HIGH ROLLER 50K'!$D$8:$D$38,$C91)+COUNTIF('OMAHA DEALER´S CHOICE'!$D$8:$D$30,$C91)</f>
        <v>2</v>
      </c>
      <c r="F91" s="8">
        <f>SUMIFS('200K OMAHA 5 K.O'!$C$8:$C$37,'200K OMAHA 5 K.O'!$D$8:$D$37,$C91)</f>
        <v>0</v>
      </c>
      <c r="G91" s="8">
        <f>SUMIFS(HORSE!$C$8:$C$26,HORSE!$D$8:$D$26,$C91)</f>
        <v>0</v>
      </c>
      <c r="H91" s="8">
        <f>SUMIFS('SUPER K.O'!$C$8:$C$41,'SUPER K.O'!$D$8:$D$41,$C91)</f>
        <v>0</v>
      </c>
      <c r="I91" s="8">
        <f>SUMIFS('8 GAME'!$C$8:$C$21,'8 GAME'!$D$8:$D$21,$C91)</f>
        <v>0</v>
      </c>
      <c r="J91" s="8">
        <f>SUMIFS('100K OMAHA MYSTERY BOUNTY'!$C$8:$C$32,'100K OMAHA MYSTERY BOUNTY'!$D$8:$D$32,$C91)</f>
        <v>0</v>
      </c>
      <c r="K91" s="8">
        <f>SUMIFS('CHAMPIONSHIP HIGH ROLLER 200K'!$C$8:$C$72,'CHAMPIONSHIP HIGH ROLLER 200K'!$D$8:$D$72,$C91)</f>
        <v>0</v>
      </c>
      <c r="L91" s="8">
        <f>SUMIFS('PLO-NLH DEALER´S CHOICE PIJAMA'!$C$8:$C$27,'PLO-NLH DEALER´S CHOICE PIJAMA'!$D$8:$D$27,$C91)</f>
        <v>0</v>
      </c>
      <c r="M91" s="8">
        <f>SUMIFS('Main Event SPT - Dia Final'!$C$8:$C$221,'Main Event SPT - Dia Final'!$D$8:$D$221,$C91)</f>
        <v>378</v>
      </c>
      <c r="N91" s="8">
        <f>SUMIFS('SECOND CHANCE'!$C$8:$C$86,'SECOND CHANCE'!$D$8:$D$86,$C91)</f>
        <v>10</v>
      </c>
      <c r="O91" s="8">
        <f>SUMIFS('HIGH ROLLER 50K'!$C$8:$C$38,'HIGH ROLLER 50K'!$D$8:$D$38,$C91)</f>
        <v>0</v>
      </c>
      <c r="P91" s="8">
        <f>SUMIFS('OMAHA DEALER´S CHOICE'!$C$8:$C$30,'OMAHA DEALER´S CHOICE'!$D$8:$D$30,$C91)</f>
        <v>0</v>
      </c>
    </row>
    <row r="92" spans="1:16">
      <c r="A92" s="4">
        <f t="shared" si="2"/>
        <v>77</v>
      </c>
      <c r="B92" s="5" t="s">
        <v>321</v>
      </c>
      <c r="C92" s="6" t="s">
        <v>322</v>
      </c>
      <c r="D92" s="7">
        <f t="shared" si="3"/>
        <v>388</v>
      </c>
      <c r="E92" s="4">
        <f>COUNTIF('200K OMAHA 5 K.O'!$D$8:$D$37,$C92)+COUNTIF(HORSE!$D$8:$D$26,$C92)+COUNTIF('SUPER K.O'!$D$8:$D$41,$C92)+COUNTIF('8 GAME'!$D$8:$D$21,$C92)+COUNTIF('100K OMAHA MYSTERY BOUNTY'!$D$8:$D$32,$C92)+COUNTIF('CHAMPIONSHIP HIGH ROLLER 200K'!$D$8:$D$72,$C92)+COUNTIF('PLO-NLH DEALER´S CHOICE PIJAMA'!$D$8:$D$27,$C92)+COUNTIF('Main Event SPT - Dia Final'!$D$8:$D$221,$C92)+COUNTIF('SECOND CHANCE'!$D$8:$D$86,$C92)+COUNTIF('HIGH ROLLER 50K'!$D$8:$D$38,$C92)+COUNTIF('OMAHA DEALER´S CHOICE'!$D$8:$D$30,$C92)</f>
        <v>2</v>
      </c>
      <c r="F92" s="8">
        <f>SUMIFS('200K OMAHA 5 K.O'!$C$8:$C$37,'200K OMAHA 5 K.O'!$D$8:$D$37,$C92)</f>
        <v>0</v>
      </c>
      <c r="G92" s="8">
        <f>SUMIFS(HORSE!$C$8:$C$26,HORSE!$D$8:$D$26,$C92)</f>
        <v>0</v>
      </c>
      <c r="H92" s="8">
        <f>SUMIFS('SUPER K.O'!$C$8:$C$41,'SUPER K.O'!$D$8:$D$41,$C92)</f>
        <v>0</v>
      </c>
      <c r="I92" s="8">
        <f>SUMIFS('8 GAME'!$C$8:$C$21,'8 GAME'!$D$8:$D$21,$C92)</f>
        <v>0</v>
      </c>
      <c r="J92" s="8">
        <f>SUMIFS('100K OMAHA MYSTERY BOUNTY'!$C$8:$C$32,'100K OMAHA MYSTERY BOUNTY'!$D$8:$D$32,$C92)</f>
        <v>0</v>
      </c>
      <c r="K92" s="8">
        <f>SUMIFS('CHAMPIONSHIP HIGH ROLLER 200K'!$C$8:$C$72,'CHAMPIONSHIP HIGH ROLLER 200K'!$D$8:$D$72,$C92)</f>
        <v>0</v>
      </c>
      <c r="L92" s="8">
        <f>SUMIFS('PLO-NLH DEALER´S CHOICE PIJAMA'!$C$8:$C$27,'PLO-NLH DEALER´S CHOICE PIJAMA'!$D$8:$D$27,$C92)</f>
        <v>0</v>
      </c>
      <c r="M92" s="8">
        <f>SUMIFS('Main Event SPT - Dia Final'!$C$8:$C$221,'Main Event SPT - Dia Final'!$D$8:$D$221,$C92)</f>
        <v>378</v>
      </c>
      <c r="N92" s="8">
        <f>SUMIFS('SECOND CHANCE'!$C$8:$C$86,'SECOND CHANCE'!$D$8:$D$86,$C92)</f>
        <v>10</v>
      </c>
      <c r="O92" s="8">
        <f>SUMIFS('HIGH ROLLER 50K'!$C$8:$C$38,'HIGH ROLLER 50K'!$D$8:$D$38,$C92)</f>
        <v>0</v>
      </c>
      <c r="P92" s="8">
        <f>SUMIFS('OMAHA DEALER´S CHOICE'!$C$8:$C$30,'OMAHA DEALER´S CHOICE'!$D$8:$D$30,$C92)</f>
        <v>0</v>
      </c>
    </row>
    <row r="93" spans="1:16">
      <c r="A93" s="4">
        <f t="shared" si="2"/>
        <v>89</v>
      </c>
      <c r="B93" s="5" t="s">
        <v>172</v>
      </c>
      <c r="C93" s="6" t="s">
        <v>173</v>
      </c>
      <c r="D93" s="7">
        <f t="shared" si="3"/>
        <v>380</v>
      </c>
      <c r="E93" s="4">
        <f>COUNTIF('200K OMAHA 5 K.O'!$D$8:$D$37,$C93)+COUNTIF(HORSE!$D$8:$D$26,$C93)+COUNTIF('SUPER K.O'!$D$8:$D$41,$C93)+COUNTIF('8 GAME'!$D$8:$D$21,$C93)+COUNTIF('100K OMAHA MYSTERY BOUNTY'!$D$8:$D$32,$C93)+COUNTIF('CHAMPIONSHIP HIGH ROLLER 200K'!$D$8:$D$72,$C93)+COUNTIF('PLO-NLH DEALER´S CHOICE PIJAMA'!$D$8:$D$27,$C93)+COUNTIF('Main Event SPT - Dia Final'!$D$8:$D$221,$C93)+COUNTIF('SECOND CHANCE'!$D$8:$D$86,$C93)+COUNTIF('HIGH ROLLER 50K'!$D$8:$D$38,$C93)+COUNTIF('OMAHA DEALER´S CHOICE'!$D$8:$D$30,$C93)</f>
        <v>3</v>
      </c>
      <c r="F93" s="8">
        <f>SUMIFS('200K OMAHA 5 K.O'!$C$8:$C$37,'200K OMAHA 5 K.O'!$D$8:$D$37,$C93)</f>
        <v>0</v>
      </c>
      <c r="G93" s="8">
        <f>SUMIFS(HORSE!$C$8:$C$26,HORSE!$D$8:$D$26,$C93)</f>
        <v>0</v>
      </c>
      <c r="H93" s="8">
        <f>SUMIFS('SUPER K.O'!$C$8:$C$41,'SUPER K.O'!$D$8:$D$41,$C93)</f>
        <v>0</v>
      </c>
      <c r="I93" s="8">
        <f>SUMIFS('8 GAME'!$C$8:$C$21,'8 GAME'!$D$8:$D$21,$C93)</f>
        <v>0</v>
      </c>
      <c r="J93" s="8">
        <f>SUMIFS('100K OMAHA MYSTERY BOUNTY'!$C$8:$C$32,'100K OMAHA MYSTERY BOUNTY'!$D$8:$D$32,$C93)</f>
        <v>360</v>
      </c>
      <c r="K93" s="8">
        <f>SUMIFS('CHAMPIONSHIP HIGH ROLLER 200K'!$C$8:$C$72,'CHAMPIONSHIP HIGH ROLLER 200K'!$D$8:$D$72,$C93)</f>
        <v>0</v>
      </c>
      <c r="L93" s="8">
        <f>SUMIFS('PLO-NLH DEALER´S CHOICE PIJAMA'!$C$8:$C$27,'PLO-NLH DEALER´S CHOICE PIJAMA'!$D$8:$D$27,$C93)</f>
        <v>10</v>
      </c>
      <c r="M93" s="8">
        <f>SUMIFS('Main Event SPT - Dia Final'!$C$8:$C$221,'Main Event SPT - Dia Final'!$D$8:$D$221,$C93)</f>
        <v>10</v>
      </c>
      <c r="N93" s="8">
        <f>SUMIFS('SECOND CHANCE'!$C$8:$C$86,'SECOND CHANCE'!$D$8:$D$86,$C93)</f>
        <v>0</v>
      </c>
      <c r="O93" s="8">
        <f>SUMIFS('HIGH ROLLER 50K'!$C$8:$C$38,'HIGH ROLLER 50K'!$D$8:$D$38,$C93)</f>
        <v>0</v>
      </c>
      <c r="P93" s="8">
        <f>SUMIFS('OMAHA DEALER´S CHOICE'!$C$8:$C$30,'OMAHA DEALER´S CHOICE'!$D$8:$D$30,$C93)</f>
        <v>0</v>
      </c>
    </row>
    <row r="94" spans="1:16">
      <c r="A94" s="4">
        <f t="shared" si="2"/>
        <v>90</v>
      </c>
      <c r="B94" s="5" t="s">
        <v>307</v>
      </c>
      <c r="C94" s="6" t="s">
        <v>308</v>
      </c>
      <c r="D94" s="7">
        <f t="shared" si="3"/>
        <v>378</v>
      </c>
      <c r="E94" s="4">
        <f>COUNTIF('200K OMAHA 5 K.O'!$D$8:$D$37,$C94)+COUNTIF(HORSE!$D$8:$D$26,$C94)+COUNTIF('SUPER K.O'!$D$8:$D$41,$C94)+COUNTIF('8 GAME'!$D$8:$D$21,$C94)+COUNTIF('100K OMAHA MYSTERY BOUNTY'!$D$8:$D$32,$C94)+COUNTIF('CHAMPIONSHIP HIGH ROLLER 200K'!$D$8:$D$72,$C94)+COUNTIF('PLO-NLH DEALER´S CHOICE PIJAMA'!$D$8:$D$27,$C94)+COUNTIF('Main Event SPT - Dia Final'!$D$8:$D$221,$C94)+COUNTIF('SECOND CHANCE'!$D$8:$D$86,$C94)+COUNTIF('HIGH ROLLER 50K'!$D$8:$D$38,$C94)+COUNTIF('OMAHA DEALER´S CHOICE'!$D$8:$D$30,$C94)</f>
        <v>1</v>
      </c>
      <c r="F94" s="8">
        <f>SUMIFS('200K OMAHA 5 K.O'!$C$8:$C$37,'200K OMAHA 5 K.O'!$D$8:$D$37,$C94)</f>
        <v>0</v>
      </c>
      <c r="G94" s="8">
        <f>SUMIFS(HORSE!$C$8:$C$26,HORSE!$D$8:$D$26,$C94)</f>
        <v>0</v>
      </c>
      <c r="H94" s="8">
        <f>SUMIFS('SUPER K.O'!$C$8:$C$41,'SUPER K.O'!$D$8:$D$41,$C94)</f>
        <v>0</v>
      </c>
      <c r="I94" s="8">
        <f>SUMIFS('8 GAME'!$C$8:$C$21,'8 GAME'!$D$8:$D$21,$C94)</f>
        <v>0</v>
      </c>
      <c r="J94" s="8">
        <f>SUMIFS('100K OMAHA MYSTERY BOUNTY'!$C$8:$C$32,'100K OMAHA MYSTERY BOUNTY'!$D$8:$D$32,$C94)</f>
        <v>0</v>
      </c>
      <c r="K94" s="8">
        <f>SUMIFS('CHAMPIONSHIP HIGH ROLLER 200K'!$C$8:$C$72,'CHAMPIONSHIP HIGH ROLLER 200K'!$D$8:$D$72,$C94)</f>
        <v>0</v>
      </c>
      <c r="L94" s="8">
        <f>SUMIFS('PLO-NLH DEALER´S CHOICE PIJAMA'!$C$8:$C$27,'PLO-NLH DEALER´S CHOICE PIJAMA'!$D$8:$D$27,$C94)</f>
        <v>0</v>
      </c>
      <c r="M94" s="8">
        <f>SUMIFS('Main Event SPT - Dia Final'!$C$8:$C$221,'Main Event SPT - Dia Final'!$D$8:$D$221,$C94)</f>
        <v>378</v>
      </c>
      <c r="N94" s="8">
        <f>SUMIFS('SECOND CHANCE'!$C$8:$C$86,'SECOND CHANCE'!$D$8:$D$86,$C94)</f>
        <v>0</v>
      </c>
      <c r="O94" s="8">
        <f>SUMIFS('HIGH ROLLER 50K'!$C$8:$C$38,'HIGH ROLLER 50K'!$D$8:$D$38,$C94)</f>
        <v>0</v>
      </c>
      <c r="P94" s="8">
        <f>SUMIFS('OMAHA DEALER´S CHOICE'!$C$8:$C$30,'OMAHA DEALER´S CHOICE'!$D$8:$D$30,$C94)</f>
        <v>0</v>
      </c>
    </row>
    <row r="95" spans="1:16">
      <c r="A95" s="4">
        <f t="shared" si="2"/>
        <v>90</v>
      </c>
      <c r="B95" s="5" t="s">
        <v>309</v>
      </c>
      <c r="C95" s="6" t="s">
        <v>310</v>
      </c>
      <c r="D95" s="7">
        <f t="shared" si="3"/>
        <v>378</v>
      </c>
      <c r="E95" s="4">
        <f>COUNTIF('200K OMAHA 5 K.O'!$D$8:$D$37,$C95)+COUNTIF(HORSE!$D$8:$D$26,$C95)+COUNTIF('SUPER K.O'!$D$8:$D$41,$C95)+COUNTIF('8 GAME'!$D$8:$D$21,$C95)+COUNTIF('100K OMAHA MYSTERY BOUNTY'!$D$8:$D$32,$C95)+COUNTIF('CHAMPIONSHIP HIGH ROLLER 200K'!$D$8:$D$72,$C95)+COUNTIF('PLO-NLH DEALER´S CHOICE PIJAMA'!$D$8:$D$27,$C95)+COUNTIF('Main Event SPT - Dia Final'!$D$8:$D$221,$C95)+COUNTIF('SECOND CHANCE'!$D$8:$D$86,$C95)+COUNTIF('HIGH ROLLER 50K'!$D$8:$D$38,$C95)+COUNTIF('OMAHA DEALER´S CHOICE'!$D$8:$D$30,$C95)</f>
        <v>1</v>
      </c>
      <c r="F95" s="8">
        <f>SUMIFS('200K OMAHA 5 K.O'!$C$8:$C$37,'200K OMAHA 5 K.O'!$D$8:$D$37,$C95)</f>
        <v>0</v>
      </c>
      <c r="G95" s="8">
        <f>SUMIFS(HORSE!$C$8:$C$26,HORSE!$D$8:$D$26,$C95)</f>
        <v>0</v>
      </c>
      <c r="H95" s="8">
        <f>SUMIFS('SUPER K.O'!$C$8:$C$41,'SUPER K.O'!$D$8:$D$41,$C95)</f>
        <v>0</v>
      </c>
      <c r="I95" s="8">
        <f>SUMIFS('8 GAME'!$C$8:$C$21,'8 GAME'!$D$8:$D$21,$C95)</f>
        <v>0</v>
      </c>
      <c r="J95" s="8">
        <f>SUMIFS('100K OMAHA MYSTERY BOUNTY'!$C$8:$C$32,'100K OMAHA MYSTERY BOUNTY'!$D$8:$D$32,$C95)</f>
        <v>0</v>
      </c>
      <c r="K95" s="8">
        <f>SUMIFS('CHAMPIONSHIP HIGH ROLLER 200K'!$C$8:$C$72,'CHAMPIONSHIP HIGH ROLLER 200K'!$D$8:$D$72,$C95)</f>
        <v>0</v>
      </c>
      <c r="L95" s="8">
        <f>SUMIFS('PLO-NLH DEALER´S CHOICE PIJAMA'!$C$8:$C$27,'PLO-NLH DEALER´S CHOICE PIJAMA'!$D$8:$D$27,$C95)</f>
        <v>0</v>
      </c>
      <c r="M95" s="8">
        <f>SUMIFS('Main Event SPT - Dia Final'!$C$8:$C$221,'Main Event SPT - Dia Final'!$D$8:$D$221,$C95)</f>
        <v>378</v>
      </c>
      <c r="N95" s="8">
        <f>SUMIFS('SECOND CHANCE'!$C$8:$C$86,'SECOND CHANCE'!$D$8:$D$86,$C95)</f>
        <v>0</v>
      </c>
      <c r="O95" s="8">
        <f>SUMIFS('HIGH ROLLER 50K'!$C$8:$C$38,'HIGH ROLLER 50K'!$D$8:$D$38,$C95)</f>
        <v>0</v>
      </c>
      <c r="P95" s="8">
        <f>SUMIFS('OMAHA DEALER´S CHOICE'!$C$8:$C$30,'OMAHA DEALER´S CHOICE'!$D$8:$D$30,$C95)</f>
        <v>0</v>
      </c>
    </row>
    <row r="96" spans="1:16">
      <c r="A96" s="4">
        <f t="shared" si="2"/>
        <v>90</v>
      </c>
      <c r="B96" s="5" t="s">
        <v>283</v>
      </c>
      <c r="C96" s="6" t="s">
        <v>284</v>
      </c>
      <c r="D96" s="7">
        <f t="shared" si="3"/>
        <v>378</v>
      </c>
      <c r="E96" s="4">
        <f>COUNTIF('200K OMAHA 5 K.O'!$D$8:$D$37,$C96)+COUNTIF(HORSE!$D$8:$D$26,$C96)+COUNTIF('SUPER K.O'!$D$8:$D$41,$C96)+COUNTIF('8 GAME'!$D$8:$D$21,$C96)+COUNTIF('100K OMAHA MYSTERY BOUNTY'!$D$8:$D$32,$C96)+COUNTIF('CHAMPIONSHIP HIGH ROLLER 200K'!$D$8:$D$72,$C96)+COUNTIF('PLO-NLH DEALER´S CHOICE PIJAMA'!$D$8:$D$27,$C96)+COUNTIF('Main Event SPT - Dia Final'!$D$8:$D$221,$C96)+COUNTIF('SECOND CHANCE'!$D$8:$D$86,$C96)+COUNTIF('HIGH ROLLER 50K'!$D$8:$D$38,$C96)+COUNTIF('OMAHA DEALER´S CHOICE'!$D$8:$D$30,$C96)</f>
        <v>1</v>
      </c>
      <c r="F96" s="8">
        <f>SUMIFS('200K OMAHA 5 K.O'!$C$8:$C$37,'200K OMAHA 5 K.O'!$D$8:$D$37,$C96)</f>
        <v>0</v>
      </c>
      <c r="G96" s="8">
        <f>SUMIFS(HORSE!$C$8:$C$26,HORSE!$D$8:$D$26,$C96)</f>
        <v>0</v>
      </c>
      <c r="H96" s="8">
        <f>SUMIFS('SUPER K.O'!$C$8:$C$41,'SUPER K.O'!$D$8:$D$41,$C96)</f>
        <v>0</v>
      </c>
      <c r="I96" s="8">
        <f>SUMIFS('8 GAME'!$C$8:$C$21,'8 GAME'!$D$8:$D$21,$C96)</f>
        <v>0</v>
      </c>
      <c r="J96" s="8">
        <f>SUMIFS('100K OMAHA MYSTERY BOUNTY'!$C$8:$C$32,'100K OMAHA MYSTERY BOUNTY'!$D$8:$D$32,$C96)</f>
        <v>0</v>
      </c>
      <c r="K96" s="8">
        <f>SUMIFS('CHAMPIONSHIP HIGH ROLLER 200K'!$C$8:$C$72,'CHAMPIONSHIP HIGH ROLLER 200K'!$D$8:$D$72,$C96)</f>
        <v>0</v>
      </c>
      <c r="L96" s="8">
        <f>SUMIFS('PLO-NLH DEALER´S CHOICE PIJAMA'!$C$8:$C$27,'PLO-NLH DEALER´S CHOICE PIJAMA'!$D$8:$D$27,$C96)</f>
        <v>0</v>
      </c>
      <c r="M96" s="8">
        <f>SUMIFS('Main Event SPT - Dia Final'!$C$8:$C$221,'Main Event SPT - Dia Final'!$D$8:$D$221,$C96)</f>
        <v>378</v>
      </c>
      <c r="N96" s="8">
        <f>SUMIFS('SECOND CHANCE'!$C$8:$C$86,'SECOND CHANCE'!$D$8:$D$86,$C96)</f>
        <v>0</v>
      </c>
      <c r="O96" s="8">
        <f>SUMIFS('HIGH ROLLER 50K'!$C$8:$C$38,'HIGH ROLLER 50K'!$D$8:$D$38,$C96)</f>
        <v>0</v>
      </c>
      <c r="P96" s="8">
        <f>SUMIFS('OMAHA DEALER´S CHOICE'!$C$8:$C$30,'OMAHA DEALER´S CHOICE'!$D$8:$D$30,$C96)</f>
        <v>0</v>
      </c>
    </row>
    <row r="97" spans="1:16">
      <c r="A97" s="4">
        <f t="shared" si="2"/>
        <v>90</v>
      </c>
      <c r="B97" s="5" t="s">
        <v>293</v>
      </c>
      <c r="C97" s="6" t="s">
        <v>294</v>
      </c>
      <c r="D97" s="7">
        <f t="shared" si="3"/>
        <v>378</v>
      </c>
      <c r="E97" s="4">
        <f>COUNTIF('200K OMAHA 5 K.O'!$D$8:$D$37,$C97)+COUNTIF(HORSE!$D$8:$D$26,$C97)+COUNTIF('SUPER K.O'!$D$8:$D$41,$C97)+COUNTIF('8 GAME'!$D$8:$D$21,$C97)+COUNTIF('100K OMAHA MYSTERY BOUNTY'!$D$8:$D$32,$C97)+COUNTIF('CHAMPIONSHIP HIGH ROLLER 200K'!$D$8:$D$72,$C97)+COUNTIF('PLO-NLH DEALER´S CHOICE PIJAMA'!$D$8:$D$27,$C97)+COUNTIF('Main Event SPT - Dia Final'!$D$8:$D$221,$C97)+COUNTIF('SECOND CHANCE'!$D$8:$D$86,$C97)+COUNTIF('HIGH ROLLER 50K'!$D$8:$D$38,$C97)+COUNTIF('OMAHA DEALER´S CHOICE'!$D$8:$D$30,$C97)</f>
        <v>1</v>
      </c>
      <c r="F97" s="8">
        <f>SUMIFS('200K OMAHA 5 K.O'!$C$8:$C$37,'200K OMAHA 5 K.O'!$D$8:$D$37,$C97)</f>
        <v>0</v>
      </c>
      <c r="G97" s="8">
        <f>SUMIFS(HORSE!$C$8:$C$26,HORSE!$D$8:$D$26,$C97)</f>
        <v>0</v>
      </c>
      <c r="H97" s="8">
        <f>SUMIFS('SUPER K.O'!$C$8:$C$41,'SUPER K.O'!$D$8:$D$41,$C97)</f>
        <v>0</v>
      </c>
      <c r="I97" s="8">
        <f>SUMIFS('8 GAME'!$C$8:$C$21,'8 GAME'!$D$8:$D$21,$C97)</f>
        <v>0</v>
      </c>
      <c r="J97" s="8">
        <f>SUMIFS('100K OMAHA MYSTERY BOUNTY'!$C$8:$C$32,'100K OMAHA MYSTERY BOUNTY'!$D$8:$D$32,$C97)</f>
        <v>0</v>
      </c>
      <c r="K97" s="8">
        <f>SUMIFS('CHAMPIONSHIP HIGH ROLLER 200K'!$C$8:$C$72,'CHAMPIONSHIP HIGH ROLLER 200K'!$D$8:$D$72,$C97)</f>
        <v>0</v>
      </c>
      <c r="L97" s="8">
        <f>SUMIFS('PLO-NLH DEALER´S CHOICE PIJAMA'!$C$8:$C$27,'PLO-NLH DEALER´S CHOICE PIJAMA'!$D$8:$D$27,$C97)</f>
        <v>0</v>
      </c>
      <c r="M97" s="8">
        <f>SUMIFS('Main Event SPT - Dia Final'!$C$8:$C$221,'Main Event SPT - Dia Final'!$D$8:$D$221,$C97)</f>
        <v>378</v>
      </c>
      <c r="N97" s="8">
        <f>SUMIFS('SECOND CHANCE'!$C$8:$C$86,'SECOND CHANCE'!$D$8:$D$86,$C97)</f>
        <v>0</v>
      </c>
      <c r="O97" s="8">
        <f>SUMIFS('HIGH ROLLER 50K'!$C$8:$C$38,'HIGH ROLLER 50K'!$D$8:$D$38,$C97)</f>
        <v>0</v>
      </c>
      <c r="P97" s="8">
        <f>SUMIFS('OMAHA DEALER´S CHOICE'!$C$8:$C$30,'OMAHA DEALER´S CHOICE'!$D$8:$D$30,$C97)</f>
        <v>0</v>
      </c>
    </row>
    <row r="98" spans="1:16">
      <c r="A98" s="4">
        <f t="shared" si="2"/>
        <v>90</v>
      </c>
      <c r="B98" s="5" t="s">
        <v>289</v>
      </c>
      <c r="C98" s="6" t="s">
        <v>290</v>
      </c>
      <c r="D98" s="7">
        <f t="shared" si="3"/>
        <v>378</v>
      </c>
      <c r="E98" s="4">
        <f>COUNTIF('200K OMAHA 5 K.O'!$D$8:$D$37,$C98)+COUNTIF(HORSE!$D$8:$D$26,$C98)+COUNTIF('SUPER K.O'!$D$8:$D$41,$C98)+COUNTIF('8 GAME'!$D$8:$D$21,$C98)+COUNTIF('100K OMAHA MYSTERY BOUNTY'!$D$8:$D$32,$C98)+COUNTIF('CHAMPIONSHIP HIGH ROLLER 200K'!$D$8:$D$72,$C98)+COUNTIF('PLO-NLH DEALER´S CHOICE PIJAMA'!$D$8:$D$27,$C98)+COUNTIF('Main Event SPT - Dia Final'!$D$8:$D$221,$C98)+COUNTIF('SECOND CHANCE'!$D$8:$D$86,$C98)+COUNTIF('HIGH ROLLER 50K'!$D$8:$D$38,$C98)+COUNTIF('OMAHA DEALER´S CHOICE'!$D$8:$D$30,$C98)</f>
        <v>1</v>
      </c>
      <c r="F98" s="8">
        <f>SUMIFS('200K OMAHA 5 K.O'!$C$8:$C$37,'200K OMAHA 5 K.O'!$D$8:$D$37,$C98)</f>
        <v>0</v>
      </c>
      <c r="G98" s="8">
        <f>SUMIFS(HORSE!$C$8:$C$26,HORSE!$D$8:$D$26,$C98)</f>
        <v>0</v>
      </c>
      <c r="H98" s="8">
        <f>SUMIFS('SUPER K.O'!$C$8:$C$41,'SUPER K.O'!$D$8:$D$41,$C98)</f>
        <v>0</v>
      </c>
      <c r="I98" s="8">
        <f>SUMIFS('8 GAME'!$C$8:$C$21,'8 GAME'!$D$8:$D$21,$C98)</f>
        <v>0</v>
      </c>
      <c r="J98" s="8">
        <f>SUMIFS('100K OMAHA MYSTERY BOUNTY'!$C$8:$C$32,'100K OMAHA MYSTERY BOUNTY'!$D$8:$D$32,$C98)</f>
        <v>0</v>
      </c>
      <c r="K98" s="8">
        <f>SUMIFS('CHAMPIONSHIP HIGH ROLLER 200K'!$C$8:$C$72,'CHAMPIONSHIP HIGH ROLLER 200K'!$D$8:$D$72,$C98)</f>
        <v>0</v>
      </c>
      <c r="L98" s="8">
        <f>SUMIFS('PLO-NLH DEALER´S CHOICE PIJAMA'!$C$8:$C$27,'PLO-NLH DEALER´S CHOICE PIJAMA'!$D$8:$D$27,$C98)</f>
        <v>0</v>
      </c>
      <c r="M98" s="8">
        <f>SUMIFS('Main Event SPT - Dia Final'!$C$8:$C$221,'Main Event SPT - Dia Final'!$D$8:$D$221,$C98)</f>
        <v>378</v>
      </c>
      <c r="N98" s="8">
        <f>SUMIFS('SECOND CHANCE'!$C$8:$C$86,'SECOND CHANCE'!$D$8:$D$86,$C98)</f>
        <v>0</v>
      </c>
      <c r="O98" s="8">
        <f>SUMIFS('HIGH ROLLER 50K'!$C$8:$C$38,'HIGH ROLLER 50K'!$D$8:$D$38,$C98)</f>
        <v>0</v>
      </c>
      <c r="P98" s="8">
        <f>SUMIFS('OMAHA DEALER´S CHOICE'!$C$8:$C$30,'OMAHA DEALER´S CHOICE'!$D$8:$D$30,$C98)</f>
        <v>0</v>
      </c>
    </row>
    <row r="99" spans="1:16">
      <c r="A99" s="4">
        <f t="shared" si="2"/>
        <v>90</v>
      </c>
      <c r="B99" s="5" t="s">
        <v>297</v>
      </c>
      <c r="C99" s="6" t="s">
        <v>298</v>
      </c>
      <c r="D99" s="7">
        <f t="shared" si="3"/>
        <v>378</v>
      </c>
      <c r="E99" s="4">
        <f>COUNTIF('200K OMAHA 5 K.O'!$D$8:$D$37,$C99)+COUNTIF(HORSE!$D$8:$D$26,$C99)+COUNTIF('SUPER K.O'!$D$8:$D$41,$C99)+COUNTIF('8 GAME'!$D$8:$D$21,$C99)+COUNTIF('100K OMAHA MYSTERY BOUNTY'!$D$8:$D$32,$C99)+COUNTIF('CHAMPIONSHIP HIGH ROLLER 200K'!$D$8:$D$72,$C99)+COUNTIF('PLO-NLH DEALER´S CHOICE PIJAMA'!$D$8:$D$27,$C99)+COUNTIF('Main Event SPT - Dia Final'!$D$8:$D$221,$C99)+COUNTIF('SECOND CHANCE'!$D$8:$D$86,$C99)+COUNTIF('HIGH ROLLER 50K'!$D$8:$D$38,$C99)+COUNTIF('OMAHA DEALER´S CHOICE'!$D$8:$D$30,$C99)</f>
        <v>1</v>
      </c>
      <c r="F99" s="8">
        <f>SUMIFS('200K OMAHA 5 K.O'!$C$8:$C$37,'200K OMAHA 5 K.O'!$D$8:$D$37,$C99)</f>
        <v>0</v>
      </c>
      <c r="G99" s="8">
        <f>SUMIFS(HORSE!$C$8:$C$26,HORSE!$D$8:$D$26,$C99)</f>
        <v>0</v>
      </c>
      <c r="H99" s="8">
        <f>SUMIFS('SUPER K.O'!$C$8:$C$41,'SUPER K.O'!$D$8:$D$41,$C99)</f>
        <v>0</v>
      </c>
      <c r="I99" s="8">
        <f>SUMIFS('8 GAME'!$C$8:$C$21,'8 GAME'!$D$8:$D$21,$C99)</f>
        <v>0</v>
      </c>
      <c r="J99" s="8">
        <f>SUMIFS('100K OMAHA MYSTERY BOUNTY'!$C$8:$C$32,'100K OMAHA MYSTERY BOUNTY'!$D$8:$D$32,$C99)</f>
        <v>0</v>
      </c>
      <c r="K99" s="8">
        <f>SUMIFS('CHAMPIONSHIP HIGH ROLLER 200K'!$C$8:$C$72,'CHAMPIONSHIP HIGH ROLLER 200K'!$D$8:$D$72,$C99)</f>
        <v>0</v>
      </c>
      <c r="L99" s="8">
        <f>SUMIFS('PLO-NLH DEALER´S CHOICE PIJAMA'!$C$8:$C$27,'PLO-NLH DEALER´S CHOICE PIJAMA'!$D$8:$D$27,$C99)</f>
        <v>0</v>
      </c>
      <c r="M99" s="8">
        <f>SUMIFS('Main Event SPT - Dia Final'!$C$8:$C$221,'Main Event SPT - Dia Final'!$D$8:$D$221,$C99)</f>
        <v>378</v>
      </c>
      <c r="N99" s="8">
        <f>SUMIFS('SECOND CHANCE'!$C$8:$C$86,'SECOND CHANCE'!$D$8:$D$86,$C99)</f>
        <v>0</v>
      </c>
      <c r="O99" s="8">
        <f>SUMIFS('HIGH ROLLER 50K'!$C$8:$C$38,'HIGH ROLLER 50K'!$D$8:$D$38,$C99)</f>
        <v>0</v>
      </c>
      <c r="P99" s="8">
        <f>SUMIFS('OMAHA DEALER´S CHOICE'!$C$8:$C$30,'OMAHA DEALER´S CHOICE'!$D$8:$D$30,$C99)</f>
        <v>0</v>
      </c>
    </row>
    <row r="100" spans="1:16">
      <c r="A100" s="4">
        <f t="shared" si="2"/>
        <v>90</v>
      </c>
      <c r="B100" s="5" t="s">
        <v>301</v>
      </c>
      <c r="C100" s="6" t="s">
        <v>302</v>
      </c>
      <c r="D100" s="7">
        <f t="shared" si="3"/>
        <v>378</v>
      </c>
      <c r="E100" s="4">
        <f>COUNTIF('200K OMAHA 5 K.O'!$D$8:$D$37,$C100)+COUNTIF(HORSE!$D$8:$D$26,$C100)+COUNTIF('SUPER K.O'!$D$8:$D$41,$C100)+COUNTIF('8 GAME'!$D$8:$D$21,$C100)+COUNTIF('100K OMAHA MYSTERY BOUNTY'!$D$8:$D$32,$C100)+COUNTIF('CHAMPIONSHIP HIGH ROLLER 200K'!$D$8:$D$72,$C100)+COUNTIF('PLO-NLH DEALER´S CHOICE PIJAMA'!$D$8:$D$27,$C100)+COUNTIF('Main Event SPT - Dia Final'!$D$8:$D$221,$C100)+COUNTIF('SECOND CHANCE'!$D$8:$D$86,$C100)+COUNTIF('HIGH ROLLER 50K'!$D$8:$D$38,$C100)+COUNTIF('OMAHA DEALER´S CHOICE'!$D$8:$D$30,$C100)</f>
        <v>1</v>
      </c>
      <c r="F100" s="8">
        <f>SUMIFS('200K OMAHA 5 K.O'!$C$8:$C$37,'200K OMAHA 5 K.O'!$D$8:$D$37,$C100)</f>
        <v>0</v>
      </c>
      <c r="G100" s="8">
        <f>SUMIFS(HORSE!$C$8:$C$26,HORSE!$D$8:$D$26,$C100)</f>
        <v>0</v>
      </c>
      <c r="H100" s="8">
        <f>SUMIFS('SUPER K.O'!$C$8:$C$41,'SUPER K.O'!$D$8:$D$41,$C100)</f>
        <v>0</v>
      </c>
      <c r="I100" s="8">
        <f>SUMIFS('8 GAME'!$C$8:$C$21,'8 GAME'!$D$8:$D$21,$C100)</f>
        <v>0</v>
      </c>
      <c r="J100" s="8">
        <f>SUMIFS('100K OMAHA MYSTERY BOUNTY'!$C$8:$C$32,'100K OMAHA MYSTERY BOUNTY'!$D$8:$D$32,$C100)</f>
        <v>0</v>
      </c>
      <c r="K100" s="8">
        <f>SUMIFS('CHAMPIONSHIP HIGH ROLLER 200K'!$C$8:$C$72,'CHAMPIONSHIP HIGH ROLLER 200K'!$D$8:$D$72,$C100)</f>
        <v>0</v>
      </c>
      <c r="L100" s="8">
        <f>SUMIFS('PLO-NLH DEALER´S CHOICE PIJAMA'!$C$8:$C$27,'PLO-NLH DEALER´S CHOICE PIJAMA'!$D$8:$D$27,$C100)</f>
        <v>0</v>
      </c>
      <c r="M100" s="8">
        <f>SUMIFS('Main Event SPT - Dia Final'!$C$8:$C$221,'Main Event SPT - Dia Final'!$D$8:$D$221,$C100)</f>
        <v>378</v>
      </c>
      <c r="N100" s="8">
        <f>SUMIFS('SECOND CHANCE'!$C$8:$C$86,'SECOND CHANCE'!$D$8:$D$86,$C100)</f>
        <v>0</v>
      </c>
      <c r="O100" s="8">
        <f>SUMIFS('HIGH ROLLER 50K'!$C$8:$C$38,'HIGH ROLLER 50K'!$D$8:$D$38,$C100)</f>
        <v>0</v>
      </c>
      <c r="P100" s="8">
        <f>SUMIFS('OMAHA DEALER´S CHOICE'!$C$8:$C$30,'OMAHA DEALER´S CHOICE'!$D$8:$D$30,$C100)</f>
        <v>0</v>
      </c>
    </row>
    <row r="101" spans="1:16">
      <c r="A101" s="4">
        <f t="shared" si="2"/>
        <v>90</v>
      </c>
      <c r="B101" s="5" t="s">
        <v>311</v>
      </c>
      <c r="C101" s="6" t="s">
        <v>312</v>
      </c>
      <c r="D101" s="7">
        <f t="shared" si="3"/>
        <v>378</v>
      </c>
      <c r="E101" s="4">
        <f>COUNTIF('200K OMAHA 5 K.O'!$D$8:$D$37,$C101)+COUNTIF(HORSE!$D$8:$D$26,$C101)+COUNTIF('SUPER K.O'!$D$8:$D$41,$C101)+COUNTIF('8 GAME'!$D$8:$D$21,$C101)+COUNTIF('100K OMAHA MYSTERY BOUNTY'!$D$8:$D$32,$C101)+COUNTIF('CHAMPIONSHIP HIGH ROLLER 200K'!$D$8:$D$72,$C101)+COUNTIF('PLO-NLH DEALER´S CHOICE PIJAMA'!$D$8:$D$27,$C101)+COUNTIF('Main Event SPT - Dia Final'!$D$8:$D$221,$C101)+COUNTIF('SECOND CHANCE'!$D$8:$D$86,$C101)+COUNTIF('HIGH ROLLER 50K'!$D$8:$D$38,$C101)+COUNTIF('OMAHA DEALER´S CHOICE'!$D$8:$D$30,$C101)</f>
        <v>1</v>
      </c>
      <c r="F101" s="8">
        <f>SUMIFS('200K OMAHA 5 K.O'!$C$8:$C$37,'200K OMAHA 5 K.O'!$D$8:$D$37,$C101)</f>
        <v>0</v>
      </c>
      <c r="G101" s="8">
        <f>SUMIFS(HORSE!$C$8:$C$26,HORSE!$D$8:$D$26,$C101)</f>
        <v>0</v>
      </c>
      <c r="H101" s="8">
        <f>SUMIFS('SUPER K.O'!$C$8:$C$41,'SUPER K.O'!$D$8:$D$41,$C101)</f>
        <v>0</v>
      </c>
      <c r="I101" s="8">
        <f>SUMIFS('8 GAME'!$C$8:$C$21,'8 GAME'!$D$8:$D$21,$C101)</f>
        <v>0</v>
      </c>
      <c r="J101" s="8">
        <f>SUMIFS('100K OMAHA MYSTERY BOUNTY'!$C$8:$C$32,'100K OMAHA MYSTERY BOUNTY'!$D$8:$D$32,$C101)</f>
        <v>0</v>
      </c>
      <c r="K101" s="8">
        <f>SUMIFS('CHAMPIONSHIP HIGH ROLLER 200K'!$C$8:$C$72,'CHAMPIONSHIP HIGH ROLLER 200K'!$D$8:$D$72,$C101)</f>
        <v>0</v>
      </c>
      <c r="L101" s="8">
        <f>SUMIFS('PLO-NLH DEALER´S CHOICE PIJAMA'!$C$8:$C$27,'PLO-NLH DEALER´S CHOICE PIJAMA'!$D$8:$D$27,$C101)</f>
        <v>0</v>
      </c>
      <c r="M101" s="8">
        <f>SUMIFS('Main Event SPT - Dia Final'!$C$8:$C$221,'Main Event SPT - Dia Final'!$D$8:$D$221,$C101)</f>
        <v>378</v>
      </c>
      <c r="N101" s="8">
        <f>SUMIFS('SECOND CHANCE'!$C$8:$C$86,'SECOND CHANCE'!$D$8:$D$86,$C101)</f>
        <v>0</v>
      </c>
      <c r="O101" s="8">
        <f>SUMIFS('HIGH ROLLER 50K'!$C$8:$C$38,'HIGH ROLLER 50K'!$D$8:$D$38,$C101)</f>
        <v>0</v>
      </c>
      <c r="P101" s="8">
        <f>SUMIFS('OMAHA DEALER´S CHOICE'!$C$8:$C$30,'OMAHA DEALER´S CHOICE'!$D$8:$D$30,$C101)</f>
        <v>0</v>
      </c>
    </row>
    <row r="102" spans="1:16">
      <c r="A102" s="4">
        <f t="shared" si="2"/>
        <v>90</v>
      </c>
      <c r="B102" s="5" t="s">
        <v>313</v>
      </c>
      <c r="C102" s="6" t="s">
        <v>314</v>
      </c>
      <c r="D102" s="7">
        <f t="shared" si="3"/>
        <v>378</v>
      </c>
      <c r="E102" s="4">
        <f>COUNTIF('200K OMAHA 5 K.O'!$D$8:$D$37,$C102)+COUNTIF(HORSE!$D$8:$D$26,$C102)+COUNTIF('SUPER K.O'!$D$8:$D$41,$C102)+COUNTIF('8 GAME'!$D$8:$D$21,$C102)+COUNTIF('100K OMAHA MYSTERY BOUNTY'!$D$8:$D$32,$C102)+COUNTIF('CHAMPIONSHIP HIGH ROLLER 200K'!$D$8:$D$72,$C102)+COUNTIF('PLO-NLH DEALER´S CHOICE PIJAMA'!$D$8:$D$27,$C102)+COUNTIF('Main Event SPT - Dia Final'!$D$8:$D$221,$C102)+COUNTIF('SECOND CHANCE'!$D$8:$D$86,$C102)+COUNTIF('HIGH ROLLER 50K'!$D$8:$D$38,$C102)+COUNTIF('OMAHA DEALER´S CHOICE'!$D$8:$D$30,$C102)</f>
        <v>1</v>
      </c>
      <c r="F102" s="8">
        <f>SUMIFS('200K OMAHA 5 K.O'!$C$8:$C$37,'200K OMAHA 5 K.O'!$D$8:$D$37,$C102)</f>
        <v>0</v>
      </c>
      <c r="G102" s="8">
        <f>SUMIFS(HORSE!$C$8:$C$26,HORSE!$D$8:$D$26,$C102)</f>
        <v>0</v>
      </c>
      <c r="H102" s="8">
        <f>SUMIFS('SUPER K.O'!$C$8:$C$41,'SUPER K.O'!$D$8:$D$41,$C102)</f>
        <v>0</v>
      </c>
      <c r="I102" s="8">
        <f>SUMIFS('8 GAME'!$C$8:$C$21,'8 GAME'!$D$8:$D$21,$C102)</f>
        <v>0</v>
      </c>
      <c r="J102" s="8">
        <f>SUMIFS('100K OMAHA MYSTERY BOUNTY'!$C$8:$C$32,'100K OMAHA MYSTERY BOUNTY'!$D$8:$D$32,$C102)</f>
        <v>0</v>
      </c>
      <c r="K102" s="8">
        <f>SUMIFS('CHAMPIONSHIP HIGH ROLLER 200K'!$C$8:$C$72,'CHAMPIONSHIP HIGH ROLLER 200K'!$D$8:$D$72,$C102)</f>
        <v>0</v>
      </c>
      <c r="L102" s="8">
        <f>SUMIFS('PLO-NLH DEALER´S CHOICE PIJAMA'!$C$8:$C$27,'PLO-NLH DEALER´S CHOICE PIJAMA'!$D$8:$D$27,$C102)</f>
        <v>0</v>
      </c>
      <c r="M102" s="8">
        <f>SUMIFS('Main Event SPT - Dia Final'!$C$8:$C$221,'Main Event SPT - Dia Final'!$D$8:$D$221,$C102)</f>
        <v>378</v>
      </c>
      <c r="N102" s="8">
        <f>SUMIFS('SECOND CHANCE'!$C$8:$C$86,'SECOND CHANCE'!$D$8:$D$86,$C102)</f>
        <v>0</v>
      </c>
      <c r="O102" s="8">
        <f>SUMIFS('HIGH ROLLER 50K'!$C$8:$C$38,'HIGH ROLLER 50K'!$D$8:$D$38,$C102)</f>
        <v>0</v>
      </c>
      <c r="P102" s="8">
        <f>SUMIFS('OMAHA DEALER´S CHOICE'!$C$8:$C$30,'OMAHA DEALER´S CHOICE'!$D$8:$D$30,$C102)</f>
        <v>0</v>
      </c>
    </row>
    <row r="103" spans="1:16">
      <c r="A103" s="4">
        <f t="shared" si="2"/>
        <v>90</v>
      </c>
      <c r="B103" s="5" t="s">
        <v>315</v>
      </c>
      <c r="C103" s="6" t="s">
        <v>316</v>
      </c>
      <c r="D103" s="7">
        <f t="shared" si="3"/>
        <v>378</v>
      </c>
      <c r="E103" s="4">
        <f>COUNTIF('200K OMAHA 5 K.O'!$D$8:$D$37,$C103)+COUNTIF(HORSE!$D$8:$D$26,$C103)+COUNTIF('SUPER K.O'!$D$8:$D$41,$C103)+COUNTIF('8 GAME'!$D$8:$D$21,$C103)+COUNTIF('100K OMAHA MYSTERY BOUNTY'!$D$8:$D$32,$C103)+COUNTIF('CHAMPIONSHIP HIGH ROLLER 200K'!$D$8:$D$72,$C103)+COUNTIF('PLO-NLH DEALER´S CHOICE PIJAMA'!$D$8:$D$27,$C103)+COUNTIF('Main Event SPT - Dia Final'!$D$8:$D$221,$C103)+COUNTIF('SECOND CHANCE'!$D$8:$D$86,$C103)+COUNTIF('HIGH ROLLER 50K'!$D$8:$D$38,$C103)+COUNTIF('OMAHA DEALER´S CHOICE'!$D$8:$D$30,$C103)</f>
        <v>1</v>
      </c>
      <c r="F103" s="8">
        <f>SUMIFS('200K OMAHA 5 K.O'!$C$8:$C$37,'200K OMAHA 5 K.O'!$D$8:$D$37,$C103)</f>
        <v>0</v>
      </c>
      <c r="G103" s="8">
        <f>SUMIFS(HORSE!$C$8:$C$26,HORSE!$D$8:$D$26,$C103)</f>
        <v>0</v>
      </c>
      <c r="H103" s="8">
        <f>SUMIFS('SUPER K.O'!$C$8:$C$41,'SUPER K.O'!$D$8:$D$41,$C103)</f>
        <v>0</v>
      </c>
      <c r="I103" s="8">
        <f>SUMIFS('8 GAME'!$C$8:$C$21,'8 GAME'!$D$8:$D$21,$C103)</f>
        <v>0</v>
      </c>
      <c r="J103" s="8">
        <f>SUMIFS('100K OMAHA MYSTERY BOUNTY'!$C$8:$C$32,'100K OMAHA MYSTERY BOUNTY'!$D$8:$D$32,$C103)</f>
        <v>0</v>
      </c>
      <c r="K103" s="8">
        <f>SUMIFS('CHAMPIONSHIP HIGH ROLLER 200K'!$C$8:$C$72,'CHAMPIONSHIP HIGH ROLLER 200K'!$D$8:$D$72,$C103)</f>
        <v>0</v>
      </c>
      <c r="L103" s="8">
        <f>SUMIFS('PLO-NLH DEALER´S CHOICE PIJAMA'!$C$8:$C$27,'PLO-NLH DEALER´S CHOICE PIJAMA'!$D$8:$D$27,$C103)</f>
        <v>0</v>
      </c>
      <c r="M103" s="8">
        <f>SUMIFS('Main Event SPT - Dia Final'!$C$8:$C$221,'Main Event SPT - Dia Final'!$D$8:$D$221,$C103)</f>
        <v>378</v>
      </c>
      <c r="N103" s="8">
        <f>SUMIFS('SECOND CHANCE'!$C$8:$C$86,'SECOND CHANCE'!$D$8:$D$86,$C103)</f>
        <v>0</v>
      </c>
      <c r="O103" s="8">
        <f>SUMIFS('HIGH ROLLER 50K'!$C$8:$C$38,'HIGH ROLLER 50K'!$D$8:$D$38,$C103)</f>
        <v>0</v>
      </c>
      <c r="P103" s="8">
        <f>SUMIFS('OMAHA DEALER´S CHOICE'!$C$8:$C$30,'OMAHA DEALER´S CHOICE'!$D$8:$D$30,$C103)</f>
        <v>0</v>
      </c>
    </row>
    <row r="104" spans="1:16">
      <c r="A104" s="4">
        <f t="shared" si="2"/>
        <v>90</v>
      </c>
      <c r="B104" s="5" t="s">
        <v>323</v>
      </c>
      <c r="C104" s="6" t="s">
        <v>324</v>
      </c>
      <c r="D104" s="7">
        <f t="shared" si="3"/>
        <v>378</v>
      </c>
      <c r="E104" s="4">
        <f>COUNTIF('200K OMAHA 5 K.O'!$D$8:$D$37,$C104)+COUNTIF(HORSE!$D$8:$D$26,$C104)+COUNTIF('SUPER K.O'!$D$8:$D$41,$C104)+COUNTIF('8 GAME'!$D$8:$D$21,$C104)+COUNTIF('100K OMAHA MYSTERY BOUNTY'!$D$8:$D$32,$C104)+COUNTIF('CHAMPIONSHIP HIGH ROLLER 200K'!$D$8:$D$72,$C104)+COUNTIF('PLO-NLH DEALER´S CHOICE PIJAMA'!$D$8:$D$27,$C104)+COUNTIF('Main Event SPT - Dia Final'!$D$8:$D$221,$C104)+COUNTIF('SECOND CHANCE'!$D$8:$D$86,$C104)+COUNTIF('HIGH ROLLER 50K'!$D$8:$D$38,$C104)+COUNTIF('OMAHA DEALER´S CHOICE'!$D$8:$D$30,$C104)</f>
        <v>1</v>
      </c>
      <c r="F104" s="8">
        <f>SUMIFS('200K OMAHA 5 K.O'!$C$8:$C$37,'200K OMAHA 5 K.O'!$D$8:$D$37,$C104)</f>
        <v>0</v>
      </c>
      <c r="G104" s="8">
        <f>SUMIFS(HORSE!$C$8:$C$26,HORSE!$D$8:$D$26,$C104)</f>
        <v>0</v>
      </c>
      <c r="H104" s="8">
        <f>SUMIFS('SUPER K.O'!$C$8:$C$41,'SUPER K.O'!$D$8:$D$41,$C104)</f>
        <v>0</v>
      </c>
      <c r="I104" s="8">
        <f>SUMIFS('8 GAME'!$C$8:$C$21,'8 GAME'!$D$8:$D$21,$C104)</f>
        <v>0</v>
      </c>
      <c r="J104" s="8">
        <f>SUMIFS('100K OMAHA MYSTERY BOUNTY'!$C$8:$C$32,'100K OMAHA MYSTERY BOUNTY'!$D$8:$D$32,$C104)</f>
        <v>0</v>
      </c>
      <c r="K104" s="8">
        <f>SUMIFS('CHAMPIONSHIP HIGH ROLLER 200K'!$C$8:$C$72,'CHAMPIONSHIP HIGH ROLLER 200K'!$D$8:$D$72,$C104)</f>
        <v>0</v>
      </c>
      <c r="L104" s="8">
        <f>SUMIFS('PLO-NLH DEALER´S CHOICE PIJAMA'!$C$8:$C$27,'PLO-NLH DEALER´S CHOICE PIJAMA'!$D$8:$D$27,$C104)</f>
        <v>0</v>
      </c>
      <c r="M104" s="8">
        <f>SUMIFS('Main Event SPT - Dia Final'!$C$8:$C$221,'Main Event SPT - Dia Final'!$D$8:$D$221,$C104)</f>
        <v>378</v>
      </c>
      <c r="N104" s="8">
        <f>SUMIFS('SECOND CHANCE'!$C$8:$C$86,'SECOND CHANCE'!$D$8:$D$86,$C104)</f>
        <v>0</v>
      </c>
      <c r="O104" s="8">
        <f>SUMIFS('HIGH ROLLER 50K'!$C$8:$C$38,'HIGH ROLLER 50K'!$D$8:$D$38,$C104)</f>
        <v>0</v>
      </c>
      <c r="P104" s="8">
        <f>SUMIFS('OMAHA DEALER´S CHOICE'!$C$8:$C$30,'OMAHA DEALER´S CHOICE'!$D$8:$D$30,$C104)</f>
        <v>0</v>
      </c>
    </row>
    <row r="105" spans="1:16">
      <c r="A105" s="4">
        <f t="shared" si="2"/>
        <v>101</v>
      </c>
      <c r="B105" s="5" t="s">
        <v>337</v>
      </c>
      <c r="C105" s="6" t="s">
        <v>338</v>
      </c>
      <c r="D105" s="7">
        <f t="shared" si="3"/>
        <v>332.5</v>
      </c>
      <c r="E105" s="4">
        <f>COUNTIF('200K OMAHA 5 K.O'!$D$8:$D$37,$C105)+COUNTIF(HORSE!$D$8:$D$26,$C105)+COUNTIF('SUPER K.O'!$D$8:$D$41,$C105)+COUNTIF('8 GAME'!$D$8:$D$21,$C105)+COUNTIF('100K OMAHA MYSTERY BOUNTY'!$D$8:$D$32,$C105)+COUNTIF('CHAMPIONSHIP HIGH ROLLER 200K'!$D$8:$D$72,$C105)+COUNTIF('PLO-NLH DEALER´S CHOICE PIJAMA'!$D$8:$D$27,$C105)+COUNTIF('Main Event SPT - Dia Final'!$D$8:$D$221,$C105)+COUNTIF('SECOND CHANCE'!$D$8:$D$86,$C105)+COUNTIF('HIGH ROLLER 50K'!$D$8:$D$38,$C105)+COUNTIF('OMAHA DEALER´S CHOICE'!$D$8:$D$30,$C105)</f>
        <v>2</v>
      </c>
      <c r="F105" s="8">
        <f>SUMIFS('200K OMAHA 5 K.O'!$C$8:$C$37,'200K OMAHA 5 K.O'!$D$8:$D$37,$C105)</f>
        <v>0</v>
      </c>
      <c r="G105" s="8">
        <f>SUMIFS(HORSE!$C$8:$C$26,HORSE!$D$8:$D$26,$C105)</f>
        <v>0</v>
      </c>
      <c r="H105" s="8">
        <f>SUMIFS('SUPER K.O'!$C$8:$C$41,'SUPER K.O'!$D$8:$D$41,$C105)</f>
        <v>0</v>
      </c>
      <c r="I105" s="8">
        <f>SUMIFS('8 GAME'!$C$8:$C$21,'8 GAME'!$D$8:$D$21,$C105)</f>
        <v>0</v>
      </c>
      <c r="J105" s="8">
        <f>SUMIFS('100K OMAHA MYSTERY BOUNTY'!$C$8:$C$32,'100K OMAHA MYSTERY BOUNTY'!$D$8:$D$32,$C105)</f>
        <v>0</v>
      </c>
      <c r="K105" s="8">
        <f>SUMIFS('CHAMPIONSHIP HIGH ROLLER 200K'!$C$8:$C$72,'CHAMPIONSHIP HIGH ROLLER 200K'!$D$8:$D$72,$C105)</f>
        <v>0</v>
      </c>
      <c r="L105" s="8">
        <f>SUMIFS('PLO-NLH DEALER´S CHOICE PIJAMA'!$C$8:$C$27,'PLO-NLH DEALER´S CHOICE PIJAMA'!$D$8:$D$27,$C105)</f>
        <v>0</v>
      </c>
      <c r="M105" s="8">
        <f>SUMIFS('Main Event SPT - Dia Final'!$C$8:$C$221,'Main Event SPT - Dia Final'!$D$8:$D$221,$C105)</f>
        <v>10</v>
      </c>
      <c r="N105" s="8">
        <f>SUMIFS('SECOND CHANCE'!$C$8:$C$86,'SECOND CHANCE'!$D$8:$D$86,$C105)</f>
        <v>322.5</v>
      </c>
      <c r="O105" s="8">
        <f>SUMIFS('HIGH ROLLER 50K'!$C$8:$C$38,'HIGH ROLLER 50K'!$D$8:$D$38,$C105)</f>
        <v>0</v>
      </c>
      <c r="P105" s="8">
        <f>SUMIFS('OMAHA DEALER´S CHOICE'!$C$8:$C$30,'OMAHA DEALER´S CHOICE'!$D$8:$D$30,$C105)</f>
        <v>0</v>
      </c>
    </row>
    <row r="106" spans="1:16">
      <c r="A106" s="4">
        <f t="shared" si="2"/>
        <v>102</v>
      </c>
      <c r="B106" s="5" t="s">
        <v>493</v>
      </c>
      <c r="C106" s="6" t="s">
        <v>494</v>
      </c>
      <c r="D106" s="7">
        <f t="shared" si="3"/>
        <v>322.5</v>
      </c>
      <c r="E106" s="4">
        <f>COUNTIF('200K OMAHA 5 K.O'!$D$8:$D$37,$C106)+COUNTIF(HORSE!$D$8:$D$26,$C106)+COUNTIF('SUPER K.O'!$D$8:$D$41,$C106)+COUNTIF('8 GAME'!$D$8:$D$21,$C106)+COUNTIF('100K OMAHA MYSTERY BOUNTY'!$D$8:$D$32,$C106)+COUNTIF('CHAMPIONSHIP HIGH ROLLER 200K'!$D$8:$D$72,$C106)+COUNTIF('PLO-NLH DEALER´S CHOICE PIJAMA'!$D$8:$D$27,$C106)+COUNTIF('Main Event SPT - Dia Final'!$D$8:$D$221,$C106)+COUNTIF('SECOND CHANCE'!$D$8:$D$86,$C106)+COUNTIF('HIGH ROLLER 50K'!$D$8:$D$38,$C106)+COUNTIF('OMAHA DEALER´S CHOICE'!$D$8:$D$30,$C106)</f>
        <v>1</v>
      </c>
      <c r="F106" s="8">
        <f>SUMIFS('200K OMAHA 5 K.O'!$C$8:$C$37,'200K OMAHA 5 K.O'!$D$8:$D$37,$C106)</f>
        <v>0</v>
      </c>
      <c r="G106" s="8">
        <f>SUMIFS(HORSE!$C$8:$C$26,HORSE!$D$8:$D$26,$C106)</f>
        <v>0</v>
      </c>
      <c r="H106" s="8">
        <f>SUMIFS('SUPER K.O'!$C$8:$C$41,'SUPER K.O'!$D$8:$D$41,$C106)</f>
        <v>0</v>
      </c>
      <c r="I106" s="8">
        <f>SUMIFS('8 GAME'!$C$8:$C$21,'8 GAME'!$D$8:$D$21,$C106)</f>
        <v>0</v>
      </c>
      <c r="J106" s="8">
        <f>SUMIFS('100K OMAHA MYSTERY BOUNTY'!$C$8:$C$32,'100K OMAHA MYSTERY BOUNTY'!$D$8:$D$32,$C106)</f>
        <v>0</v>
      </c>
      <c r="K106" s="8">
        <f>SUMIFS('CHAMPIONSHIP HIGH ROLLER 200K'!$C$8:$C$72,'CHAMPIONSHIP HIGH ROLLER 200K'!$D$8:$D$72,$C106)</f>
        <v>0</v>
      </c>
      <c r="L106" s="8">
        <f>SUMIFS('PLO-NLH DEALER´S CHOICE PIJAMA'!$C$8:$C$27,'PLO-NLH DEALER´S CHOICE PIJAMA'!$D$8:$D$27,$C106)</f>
        <v>0</v>
      </c>
      <c r="M106" s="8">
        <f>SUMIFS('Main Event SPT - Dia Final'!$C$8:$C$221,'Main Event SPT - Dia Final'!$D$8:$D$221,$C106)</f>
        <v>0</v>
      </c>
      <c r="N106" s="8">
        <f>SUMIFS('SECOND CHANCE'!$C$8:$C$86,'SECOND CHANCE'!$D$8:$D$86,$C106)</f>
        <v>322.5</v>
      </c>
      <c r="O106" s="8">
        <f>SUMIFS('HIGH ROLLER 50K'!$C$8:$C$38,'HIGH ROLLER 50K'!$D$8:$D$38,$C106)</f>
        <v>0</v>
      </c>
      <c r="P106" s="8">
        <f>SUMIFS('OMAHA DEALER´S CHOICE'!$C$8:$C$30,'OMAHA DEALER´S CHOICE'!$D$8:$D$30,$C106)</f>
        <v>0</v>
      </c>
    </row>
    <row r="107" spans="1:16">
      <c r="A107" s="4">
        <f t="shared" si="2"/>
        <v>103</v>
      </c>
      <c r="B107" s="5" t="s">
        <v>387</v>
      </c>
      <c r="C107" s="6" t="s">
        <v>388</v>
      </c>
      <c r="D107" s="7">
        <f t="shared" si="3"/>
        <v>268</v>
      </c>
      <c r="E107" s="4">
        <f>COUNTIF('200K OMAHA 5 K.O'!$D$8:$D$37,$C107)+COUNTIF(HORSE!$D$8:$D$26,$C107)+COUNTIF('SUPER K.O'!$D$8:$D$41,$C107)+COUNTIF('8 GAME'!$D$8:$D$21,$C107)+COUNTIF('100K OMAHA MYSTERY BOUNTY'!$D$8:$D$32,$C107)+COUNTIF('CHAMPIONSHIP HIGH ROLLER 200K'!$D$8:$D$72,$C107)+COUNTIF('PLO-NLH DEALER´S CHOICE PIJAMA'!$D$8:$D$27,$C107)+COUNTIF('Main Event SPT - Dia Final'!$D$8:$D$221,$C107)+COUNTIF('SECOND CHANCE'!$D$8:$D$86,$C107)+COUNTIF('HIGH ROLLER 50K'!$D$8:$D$38,$C107)+COUNTIF('OMAHA DEALER´S CHOICE'!$D$8:$D$30,$C107)</f>
        <v>2</v>
      </c>
      <c r="F107" s="8">
        <f>SUMIFS('200K OMAHA 5 K.O'!$C$8:$C$37,'200K OMAHA 5 K.O'!$D$8:$D$37,$C107)</f>
        <v>0</v>
      </c>
      <c r="G107" s="8">
        <f>SUMIFS(HORSE!$C$8:$C$26,HORSE!$D$8:$D$26,$C107)</f>
        <v>0</v>
      </c>
      <c r="H107" s="8">
        <f>SUMIFS('SUPER K.O'!$C$8:$C$41,'SUPER K.O'!$D$8:$D$41,$C107)</f>
        <v>0</v>
      </c>
      <c r="I107" s="8">
        <f>SUMIFS('8 GAME'!$C$8:$C$21,'8 GAME'!$D$8:$D$21,$C107)</f>
        <v>0</v>
      </c>
      <c r="J107" s="8">
        <f>SUMIFS('100K OMAHA MYSTERY BOUNTY'!$C$8:$C$32,'100K OMAHA MYSTERY BOUNTY'!$D$8:$D$32,$C107)</f>
        <v>0</v>
      </c>
      <c r="K107" s="8">
        <f>SUMIFS('CHAMPIONSHIP HIGH ROLLER 200K'!$C$8:$C$72,'CHAMPIONSHIP HIGH ROLLER 200K'!$D$8:$D$72,$C107)</f>
        <v>0</v>
      </c>
      <c r="L107" s="8">
        <f>SUMIFS('PLO-NLH DEALER´S CHOICE PIJAMA'!$C$8:$C$27,'PLO-NLH DEALER´S CHOICE PIJAMA'!$D$8:$D$27,$C107)</f>
        <v>0</v>
      </c>
      <c r="M107" s="8">
        <f>SUMIFS('Main Event SPT - Dia Final'!$C$8:$C$221,'Main Event SPT - Dia Final'!$D$8:$D$221,$C107)</f>
        <v>10</v>
      </c>
      <c r="N107" s="8">
        <f>SUMIFS('SECOND CHANCE'!$C$8:$C$86,'SECOND CHANCE'!$D$8:$D$86,$C107)</f>
        <v>258</v>
      </c>
      <c r="O107" s="8">
        <f>SUMIFS('HIGH ROLLER 50K'!$C$8:$C$38,'HIGH ROLLER 50K'!$D$8:$D$38,$C107)</f>
        <v>0</v>
      </c>
      <c r="P107" s="8">
        <f>SUMIFS('OMAHA DEALER´S CHOICE'!$C$8:$C$30,'OMAHA DEALER´S CHOICE'!$D$8:$D$30,$C107)</f>
        <v>0</v>
      </c>
    </row>
    <row r="108" spans="1:16">
      <c r="A108" s="4">
        <f t="shared" si="2"/>
        <v>103</v>
      </c>
      <c r="B108" s="5" t="s">
        <v>341</v>
      </c>
      <c r="C108" s="6" t="s">
        <v>342</v>
      </c>
      <c r="D108" s="7">
        <f t="shared" si="3"/>
        <v>268</v>
      </c>
      <c r="E108" s="4">
        <f>COUNTIF('200K OMAHA 5 K.O'!$D$8:$D$37,$C108)+COUNTIF(HORSE!$D$8:$D$26,$C108)+COUNTIF('SUPER K.O'!$D$8:$D$41,$C108)+COUNTIF('8 GAME'!$D$8:$D$21,$C108)+COUNTIF('100K OMAHA MYSTERY BOUNTY'!$D$8:$D$32,$C108)+COUNTIF('CHAMPIONSHIP HIGH ROLLER 200K'!$D$8:$D$72,$C108)+COUNTIF('PLO-NLH DEALER´S CHOICE PIJAMA'!$D$8:$D$27,$C108)+COUNTIF('Main Event SPT - Dia Final'!$D$8:$D$221,$C108)+COUNTIF('SECOND CHANCE'!$D$8:$D$86,$C108)+COUNTIF('HIGH ROLLER 50K'!$D$8:$D$38,$C108)+COUNTIF('OMAHA DEALER´S CHOICE'!$D$8:$D$30,$C108)</f>
        <v>2</v>
      </c>
      <c r="F108" s="8">
        <f>SUMIFS('200K OMAHA 5 K.O'!$C$8:$C$37,'200K OMAHA 5 K.O'!$D$8:$D$37,$C108)</f>
        <v>0</v>
      </c>
      <c r="G108" s="8">
        <f>SUMIFS(HORSE!$C$8:$C$26,HORSE!$D$8:$D$26,$C108)</f>
        <v>0</v>
      </c>
      <c r="H108" s="8">
        <f>SUMIFS('SUPER K.O'!$C$8:$C$41,'SUPER K.O'!$D$8:$D$41,$C108)</f>
        <v>0</v>
      </c>
      <c r="I108" s="8">
        <f>SUMIFS('8 GAME'!$C$8:$C$21,'8 GAME'!$D$8:$D$21,$C108)</f>
        <v>0</v>
      </c>
      <c r="J108" s="8">
        <f>SUMIFS('100K OMAHA MYSTERY BOUNTY'!$C$8:$C$32,'100K OMAHA MYSTERY BOUNTY'!$D$8:$D$32,$C108)</f>
        <v>0</v>
      </c>
      <c r="K108" s="8">
        <f>SUMIFS('CHAMPIONSHIP HIGH ROLLER 200K'!$C$8:$C$72,'CHAMPIONSHIP HIGH ROLLER 200K'!$D$8:$D$72,$C108)</f>
        <v>0</v>
      </c>
      <c r="L108" s="8">
        <f>SUMIFS('PLO-NLH DEALER´S CHOICE PIJAMA'!$C$8:$C$27,'PLO-NLH DEALER´S CHOICE PIJAMA'!$D$8:$D$27,$C108)</f>
        <v>0</v>
      </c>
      <c r="M108" s="8">
        <f>SUMIFS('Main Event SPT - Dia Final'!$C$8:$C$221,'Main Event SPT - Dia Final'!$D$8:$D$221,$C108)</f>
        <v>10</v>
      </c>
      <c r="N108" s="8">
        <f>SUMIFS('SECOND CHANCE'!$C$8:$C$86,'SECOND CHANCE'!$D$8:$D$86,$C108)</f>
        <v>258</v>
      </c>
      <c r="O108" s="8">
        <f>SUMIFS('HIGH ROLLER 50K'!$C$8:$C$38,'HIGH ROLLER 50K'!$D$8:$D$38,$C108)</f>
        <v>0</v>
      </c>
      <c r="P108" s="8">
        <f>SUMIFS('OMAHA DEALER´S CHOICE'!$C$8:$C$30,'OMAHA DEALER´S CHOICE'!$D$8:$D$30,$C108)</f>
        <v>0</v>
      </c>
    </row>
    <row r="109" spans="1:16">
      <c r="A109" s="4">
        <f t="shared" si="2"/>
        <v>103</v>
      </c>
      <c r="B109" s="5" t="s">
        <v>473</v>
      </c>
      <c r="C109" s="6" t="s">
        <v>474</v>
      </c>
      <c r="D109" s="7">
        <f t="shared" si="3"/>
        <v>268</v>
      </c>
      <c r="E109" s="4">
        <f>COUNTIF('200K OMAHA 5 K.O'!$D$8:$D$37,$C109)+COUNTIF(HORSE!$D$8:$D$26,$C109)+COUNTIF('SUPER K.O'!$D$8:$D$41,$C109)+COUNTIF('8 GAME'!$D$8:$D$21,$C109)+COUNTIF('100K OMAHA MYSTERY BOUNTY'!$D$8:$D$32,$C109)+COUNTIF('CHAMPIONSHIP HIGH ROLLER 200K'!$D$8:$D$72,$C109)+COUNTIF('PLO-NLH DEALER´S CHOICE PIJAMA'!$D$8:$D$27,$C109)+COUNTIF('Main Event SPT - Dia Final'!$D$8:$D$221,$C109)+COUNTIF('SECOND CHANCE'!$D$8:$D$86,$C109)+COUNTIF('HIGH ROLLER 50K'!$D$8:$D$38,$C109)+COUNTIF('OMAHA DEALER´S CHOICE'!$D$8:$D$30,$C109)</f>
        <v>2</v>
      </c>
      <c r="F109" s="8">
        <f>SUMIFS('200K OMAHA 5 K.O'!$C$8:$C$37,'200K OMAHA 5 K.O'!$D$8:$D$37,$C109)</f>
        <v>0</v>
      </c>
      <c r="G109" s="8">
        <f>SUMIFS(HORSE!$C$8:$C$26,HORSE!$D$8:$D$26,$C109)</f>
        <v>0</v>
      </c>
      <c r="H109" s="8">
        <f>SUMIFS('SUPER K.O'!$C$8:$C$41,'SUPER K.O'!$D$8:$D$41,$C109)</f>
        <v>0</v>
      </c>
      <c r="I109" s="8">
        <f>SUMIFS('8 GAME'!$C$8:$C$21,'8 GAME'!$D$8:$D$21,$C109)</f>
        <v>0</v>
      </c>
      <c r="J109" s="8">
        <f>SUMIFS('100K OMAHA MYSTERY BOUNTY'!$C$8:$C$32,'100K OMAHA MYSTERY BOUNTY'!$D$8:$D$32,$C109)</f>
        <v>0</v>
      </c>
      <c r="K109" s="8">
        <f>SUMIFS('CHAMPIONSHIP HIGH ROLLER 200K'!$C$8:$C$72,'CHAMPIONSHIP HIGH ROLLER 200K'!$D$8:$D$72,$C109)</f>
        <v>0</v>
      </c>
      <c r="L109" s="8">
        <f>SUMIFS('PLO-NLH DEALER´S CHOICE PIJAMA'!$C$8:$C$27,'PLO-NLH DEALER´S CHOICE PIJAMA'!$D$8:$D$27,$C109)</f>
        <v>0</v>
      </c>
      <c r="M109" s="8">
        <f>SUMIFS('Main Event SPT - Dia Final'!$C$8:$C$221,'Main Event SPT - Dia Final'!$D$8:$D$221,$C109)</f>
        <v>10</v>
      </c>
      <c r="N109" s="8">
        <f>SUMIFS('SECOND CHANCE'!$C$8:$C$86,'SECOND CHANCE'!$D$8:$D$86,$C109)</f>
        <v>258</v>
      </c>
      <c r="O109" s="8">
        <f>SUMIFS('HIGH ROLLER 50K'!$C$8:$C$38,'HIGH ROLLER 50K'!$D$8:$D$38,$C109)</f>
        <v>0</v>
      </c>
      <c r="P109" s="8">
        <f>SUMIFS('OMAHA DEALER´S CHOICE'!$C$8:$C$30,'OMAHA DEALER´S CHOICE'!$D$8:$D$30,$C109)</f>
        <v>0</v>
      </c>
    </row>
    <row r="110" spans="1:16">
      <c r="A110" s="4">
        <f t="shared" si="2"/>
        <v>103</v>
      </c>
      <c r="B110" s="5" t="s">
        <v>439</v>
      </c>
      <c r="C110" s="6" t="s">
        <v>440</v>
      </c>
      <c r="D110" s="7">
        <f t="shared" si="3"/>
        <v>268</v>
      </c>
      <c r="E110" s="4">
        <f>COUNTIF('200K OMAHA 5 K.O'!$D$8:$D$37,$C110)+COUNTIF(HORSE!$D$8:$D$26,$C110)+COUNTIF('SUPER K.O'!$D$8:$D$41,$C110)+COUNTIF('8 GAME'!$D$8:$D$21,$C110)+COUNTIF('100K OMAHA MYSTERY BOUNTY'!$D$8:$D$32,$C110)+COUNTIF('CHAMPIONSHIP HIGH ROLLER 200K'!$D$8:$D$72,$C110)+COUNTIF('PLO-NLH DEALER´S CHOICE PIJAMA'!$D$8:$D$27,$C110)+COUNTIF('Main Event SPT - Dia Final'!$D$8:$D$221,$C110)+COUNTIF('SECOND CHANCE'!$D$8:$D$86,$C110)+COUNTIF('HIGH ROLLER 50K'!$D$8:$D$38,$C110)+COUNTIF('OMAHA DEALER´S CHOICE'!$D$8:$D$30,$C110)</f>
        <v>2</v>
      </c>
      <c r="F110" s="8">
        <f>SUMIFS('200K OMAHA 5 K.O'!$C$8:$C$37,'200K OMAHA 5 K.O'!$D$8:$D$37,$C110)</f>
        <v>0</v>
      </c>
      <c r="G110" s="8">
        <f>SUMIFS(HORSE!$C$8:$C$26,HORSE!$D$8:$D$26,$C110)</f>
        <v>0</v>
      </c>
      <c r="H110" s="8">
        <f>SUMIFS('SUPER K.O'!$C$8:$C$41,'SUPER K.O'!$D$8:$D$41,$C110)</f>
        <v>0</v>
      </c>
      <c r="I110" s="8">
        <f>SUMIFS('8 GAME'!$C$8:$C$21,'8 GAME'!$D$8:$D$21,$C110)</f>
        <v>0</v>
      </c>
      <c r="J110" s="8">
        <f>SUMIFS('100K OMAHA MYSTERY BOUNTY'!$C$8:$C$32,'100K OMAHA MYSTERY BOUNTY'!$D$8:$D$32,$C110)</f>
        <v>0</v>
      </c>
      <c r="K110" s="8">
        <f>SUMIFS('CHAMPIONSHIP HIGH ROLLER 200K'!$C$8:$C$72,'CHAMPIONSHIP HIGH ROLLER 200K'!$D$8:$D$72,$C110)</f>
        <v>0</v>
      </c>
      <c r="L110" s="8">
        <f>SUMIFS('PLO-NLH DEALER´S CHOICE PIJAMA'!$C$8:$C$27,'PLO-NLH DEALER´S CHOICE PIJAMA'!$D$8:$D$27,$C110)</f>
        <v>0</v>
      </c>
      <c r="M110" s="8">
        <f>SUMIFS('Main Event SPT - Dia Final'!$C$8:$C$221,'Main Event SPT - Dia Final'!$D$8:$D$221,$C110)</f>
        <v>10</v>
      </c>
      <c r="N110" s="8">
        <f>SUMIFS('SECOND CHANCE'!$C$8:$C$86,'SECOND CHANCE'!$D$8:$D$86,$C110)</f>
        <v>258</v>
      </c>
      <c r="O110" s="8">
        <f>SUMIFS('HIGH ROLLER 50K'!$C$8:$C$38,'HIGH ROLLER 50K'!$D$8:$D$38,$C110)</f>
        <v>0</v>
      </c>
      <c r="P110" s="8">
        <f>SUMIFS('OMAHA DEALER´S CHOICE'!$C$8:$C$30,'OMAHA DEALER´S CHOICE'!$D$8:$D$30,$C110)</f>
        <v>0</v>
      </c>
    </row>
    <row r="111" spans="1:16">
      <c r="A111" s="4">
        <f t="shared" si="2"/>
        <v>107</v>
      </c>
      <c r="B111" s="5" t="s">
        <v>495</v>
      </c>
      <c r="C111" s="6" t="s">
        <v>496</v>
      </c>
      <c r="D111" s="7">
        <f t="shared" si="3"/>
        <v>129</v>
      </c>
      <c r="E111" s="4">
        <f>COUNTIF('200K OMAHA 5 K.O'!$D$8:$D$37,$C111)+COUNTIF(HORSE!$D$8:$D$26,$C111)+COUNTIF('SUPER K.O'!$D$8:$D$41,$C111)+COUNTIF('8 GAME'!$D$8:$D$21,$C111)+COUNTIF('100K OMAHA MYSTERY BOUNTY'!$D$8:$D$32,$C111)+COUNTIF('CHAMPIONSHIP HIGH ROLLER 200K'!$D$8:$D$72,$C111)+COUNTIF('PLO-NLH DEALER´S CHOICE PIJAMA'!$D$8:$D$27,$C111)+COUNTIF('Main Event SPT - Dia Final'!$D$8:$D$221,$C111)+COUNTIF('SECOND CHANCE'!$D$8:$D$86,$C111)+COUNTIF('HIGH ROLLER 50K'!$D$8:$D$38,$C111)+COUNTIF('OMAHA DEALER´S CHOICE'!$D$8:$D$30,$C111)</f>
        <v>1</v>
      </c>
      <c r="F111" s="8">
        <f>SUMIFS('200K OMAHA 5 K.O'!$C$8:$C$37,'200K OMAHA 5 K.O'!$D$8:$D$37,$C111)</f>
        <v>0</v>
      </c>
      <c r="G111" s="8">
        <f>SUMIFS(HORSE!$C$8:$C$26,HORSE!$D$8:$D$26,$C111)</f>
        <v>0</v>
      </c>
      <c r="H111" s="8">
        <f>SUMIFS('SUPER K.O'!$C$8:$C$41,'SUPER K.O'!$D$8:$D$41,$C111)</f>
        <v>0</v>
      </c>
      <c r="I111" s="8">
        <f>SUMIFS('8 GAME'!$C$8:$C$21,'8 GAME'!$D$8:$D$21,$C111)</f>
        <v>0</v>
      </c>
      <c r="J111" s="8">
        <f>SUMIFS('100K OMAHA MYSTERY BOUNTY'!$C$8:$C$32,'100K OMAHA MYSTERY BOUNTY'!$D$8:$D$32,$C111)</f>
        <v>0</v>
      </c>
      <c r="K111" s="8">
        <f>SUMIFS('CHAMPIONSHIP HIGH ROLLER 200K'!$C$8:$C$72,'CHAMPIONSHIP HIGH ROLLER 200K'!$D$8:$D$72,$C111)</f>
        <v>0</v>
      </c>
      <c r="L111" s="8">
        <f>SUMIFS('PLO-NLH DEALER´S CHOICE PIJAMA'!$C$8:$C$27,'PLO-NLH DEALER´S CHOICE PIJAMA'!$D$8:$D$27,$C111)</f>
        <v>0</v>
      </c>
      <c r="M111" s="8">
        <f>SUMIFS('Main Event SPT - Dia Final'!$C$8:$C$221,'Main Event SPT - Dia Final'!$D$8:$D$221,$C111)</f>
        <v>0</v>
      </c>
      <c r="N111" s="8">
        <f>SUMIFS('SECOND CHANCE'!$C$8:$C$86,'SECOND CHANCE'!$D$8:$D$86,$C111)</f>
        <v>129</v>
      </c>
      <c r="O111" s="8">
        <f>SUMIFS('HIGH ROLLER 50K'!$C$8:$C$38,'HIGH ROLLER 50K'!$D$8:$D$38,$C111)</f>
        <v>0</v>
      </c>
      <c r="P111" s="8">
        <f>SUMIFS('OMAHA DEALER´S CHOICE'!$C$8:$C$30,'OMAHA DEALER´S CHOICE'!$D$8:$D$30,$C111)</f>
        <v>0</v>
      </c>
    </row>
    <row r="112" spans="1:16">
      <c r="A112" s="4">
        <f t="shared" si="2"/>
        <v>108</v>
      </c>
      <c r="B112" s="5" t="s">
        <v>57</v>
      </c>
      <c r="C112" s="6" t="s">
        <v>58</v>
      </c>
      <c r="D112" s="7">
        <f t="shared" si="3"/>
        <v>50</v>
      </c>
      <c r="E112" s="4">
        <f>COUNTIF('200K OMAHA 5 K.O'!$D$8:$D$37,$C112)+COUNTIF(HORSE!$D$8:$D$26,$C112)+COUNTIF('SUPER K.O'!$D$8:$D$41,$C112)+COUNTIF('8 GAME'!$D$8:$D$21,$C112)+COUNTIF('100K OMAHA MYSTERY BOUNTY'!$D$8:$D$32,$C112)+COUNTIF('CHAMPIONSHIP HIGH ROLLER 200K'!$D$8:$D$72,$C112)+COUNTIF('PLO-NLH DEALER´S CHOICE PIJAMA'!$D$8:$D$27,$C112)+COUNTIF('Main Event SPT - Dia Final'!$D$8:$D$221,$C112)+COUNTIF('SECOND CHANCE'!$D$8:$D$86,$C112)+COUNTIF('HIGH ROLLER 50K'!$D$8:$D$38,$C112)+COUNTIF('OMAHA DEALER´S CHOICE'!$D$8:$D$30,$C112)</f>
        <v>5</v>
      </c>
      <c r="F112" s="8">
        <f>SUMIFS('200K OMAHA 5 K.O'!$C$8:$C$37,'200K OMAHA 5 K.O'!$D$8:$D$37,$C112)</f>
        <v>10</v>
      </c>
      <c r="G112" s="8">
        <f>SUMIFS(HORSE!$C$8:$C$26,HORSE!$D$8:$D$26,$C112)</f>
        <v>10</v>
      </c>
      <c r="H112" s="8">
        <f>SUMIFS('SUPER K.O'!$C$8:$C$41,'SUPER K.O'!$D$8:$D$41,$C112)</f>
        <v>0</v>
      </c>
      <c r="I112" s="8">
        <f>SUMIFS('8 GAME'!$C$8:$C$21,'8 GAME'!$D$8:$D$21,$C112)</f>
        <v>10</v>
      </c>
      <c r="J112" s="8">
        <f>SUMIFS('100K OMAHA MYSTERY BOUNTY'!$C$8:$C$32,'100K OMAHA MYSTERY BOUNTY'!$D$8:$D$32,$C112)</f>
        <v>0</v>
      </c>
      <c r="K112" s="8">
        <f>SUMIFS('CHAMPIONSHIP HIGH ROLLER 200K'!$C$8:$C$72,'CHAMPIONSHIP HIGH ROLLER 200K'!$D$8:$D$72,$C112)</f>
        <v>0</v>
      </c>
      <c r="L112" s="8">
        <f>SUMIFS('PLO-NLH DEALER´S CHOICE PIJAMA'!$C$8:$C$27,'PLO-NLH DEALER´S CHOICE PIJAMA'!$D$8:$D$27,$C112)</f>
        <v>0</v>
      </c>
      <c r="M112" s="8">
        <f>SUMIFS('Main Event SPT - Dia Final'!$C$8:$C$221,'Main Event SPT - Dia Final'!$D$8:$D$221,$C112)</f>
        <v>10</v>
      </c>
      <c r="N112" s="8">
        <f>SUMIFS('SECOND CHANCE'!$C$8:$C$86,'SECOND CHANCE'!$D$8:$D$86,$C112)</f>
        <v>0</v>
      </c>
      <c r="O112" s="8">
        <f>SUMIFS('HIGH ROLLER 50K'!$C$8:$C$38,'HIGH ROLLER 50K'!$D$8:$D$38,$C112)</f>
        <v>0</v>
      </c>
      <c r="P112" s="8">
        <f>SUMIFS('OMAHA DEALER´S CHOICE'!$C$8:$C$30,'OMAHA DEALER´S CHOICE'!$D$8:$D$30,$C112)</f>
        <v>10</v>
      </c>
    </row>
    <row r="113" spans="1:16">
      <c r="A113" s="4">
        <f t="shared" si="2"/>
        <v>108</v>
      </c>
      <c r="B113" s="5" t="s">
        <v>39</v>
      </c>
      <c r="C113" s="6" t="s">
        <v>40</v>
      </c>
      <c r="D113" s="7">
        <f t="shared" si="3"/>
        <v>50</v>
      </c>
      <c r="E113" s="4">
        <f>COUNTIF('200K OMAHA 5 K.O'!$D$8:$D$37,$C113)+COUNTIF(HORSE!$D$8:$D$26,$C113)+COUNTIF('SUPER K.O'!$D$8:$D$41,$C113)+COUNTIF('8 GAME'!$D$8:$D$21,$C113)+COUNTIF('100K OMAHA MYSTERY BOUNTY'!$D$8:$D$32,$C113)+COUNTIF('CHAMPIONSHIP HIGH ROLLER 200K'!$D$8:$D$72,$C113)+COUNTIF('PLO-NLH DEALER´S CHOICE PIJAMA'!$D$8:$D$27,$C113)+COUNTIF('Main Event SPT - Dia Final'!$D$8:$D$221,$C113)+COUNTIF('SECOND CHANCE'!$D$8:$D$86,$C113)+COUNTIF('HIGH ROLLER 50K'!$D$8:$D$38,$C113)+COUNTIF('OMAHA DEALER´S CHOICE'!$D$8:$D$30,$C113)</f>
        <v>5</v>
      </c>
      <c r="F113" s="8">
        <f>SUMIFS('200K OMAHA 5 K.O'!$C$8:$C$37,'200K OMAHA 5 K.O'!$D$8:$D$37,$C113)</f>
        <v>10</v>
      </c>
      <c r="G113" s="8">
        <f>SUMIFS(HORSE!$C$8:$C$26,HORSE!$D$8:$D$26,$C113)</f>
        <v>0</v>
      </c>
      <c r="H113" s="8">
        <f>SUMIFS('SUPER K.O'!$C$8:$C$41,'SUPER K.O'!$D$8:$D$41,$C113)</f>
        <v>0</v>
      </c>
      <c r="I113" s="8">
        <f>SUMIFS('8 GAME'!$C$8:$C$21,'8 GAME'!$D$8:$D$21,$C113)</f>
        <v>0</v>
      </c>
      <c r="J113" s="8">
        <f>SUMIFS('100K OMAHA MYSTERY BOUNTY'!$C$8:$C$32,'100K OMAHA MYSTERY BOUNTY'!$D$8:$D$32,$C113)</f>
        <v>10</v>
      </c>
      <c r="K113" s="8">
        <f>SUMIFS('CHAMPIONSHIP HIGH ROLLER 200K'!$C$8:$C$72,'CHAMPIONSHIP HIGH ROLLER 200K'!$D$8:$D$72,$C113)</f>
        <v>10</v>
      </c>
      <c r="L113" s="8">
        <f>SUMIFS('PLO-NLH DEALER´S CHOICE PIJAMA'!$C$8:$C$27,'PLO-NLH DEALER´S CHOICE PIJAMA'!$D$8:$D$27,$C113)</f>
        <v>0</v>
      </c>
      <c r="M113" s="8">
        <f>SUMIFS('Main Event SPT - Dia Final'!$C$8:$C$221,'Main Event SPT - Dia Final'!$D$8:$D$221,$C113)</f>
        <v>10</v>
      </c>
      <c r="N113" s="8">
        <f>SUMIFS('SECOND CHANCE'!$C$8:$C$86,'SECOND CHANCE'!$D$8:$D$86,$C113)</f>
        <v>0</v>
      </c>
      <c r="O113" s="8">
        <f>SUMIFS('HIGH ROLLER 50K'!$C$8:$C$38,'HIGH ROLLER 50K'!$D$8:$D$38,$C113)</f>
        <v>0</v>
      </c>
      <c r="P113" s="8">
        <f>SUMIFS('OMAHA DEALER´S CHOICE'!$C$8:$C$30,'OMAHA DEALER´S CHOICE'!$D$8:$D$30,$C113)</f>
        <v>10</v>
      </c>
    </row>
    <row r="114" spans="1:16">
      <c r="A114" s="4">
        <f t="shared" si="2"/>
        <v>108</v>
      </c>
      <c r="B114" s="5" t="s">
        <v>122</v>
      </c>
      <c r="C114" s="6" t="s">
        <v>123</v>
      </c>
      <c r="D114" s="7">
        <f t="shared" si="3"/>
        <v>50</v>
      </c>
      <c r="E114" s="4">
        <f>COUNTIF('200K OMAHA 5 K.O'!$D$8:$D$37,$C114)+COUNTIF(HORSE!$D$8:$D$26,$C114)+COUNTIF('SUPER K.O'!$D$8:$D$41,$C114)+COUNTIF('8 GAME'!$D$8:$D$21,$C114)+COUNTIF('100K OMAHA MYSTERY BOUNTY'!$D$8:$D$32,$C114)+COUNTIF('CHAMPIONSHIP HIGH ROLLER 200K'!$D$8:$D$72,$C114)+COUNTIF('PLO-NLH DEALER´S CHOICE PIJAMA'!$D$8:$D$27,$C114)+COUNTIF('Main Event SPT - Dia Final'!$D$8:$D$221,$C114)+COUNTIF('SECOND CHANCE'!$D$8:$D$86,$C114)+COUNTIF('HIGH ROLLER 50K'!$D$8:$D$38,$C114)+COUNTIF('OMAHA DEALER´S CHOICE'!$D$8:$D$30,$C114)</f>
        <v>5</v>
      </c>
      <c r="F114" s="8">
        <f>SUMIFS('200K OMAHA 5 K.O'!$C$8:$C$37,'200K OMAHA 5 K.O'!$D$8:$D$37,$C114)</f>
        <v>0</v>
      </c>
      <c r="G114" s="8">
        <f>SUMIFS(HORSE!$C$8:$C$26,HORSE!$D$8:$D$26,$C114)</f>
        <v>0</v>
      </c>
      <c r="H114" s="8">
        <f>SUMIFS('SUPER K.O'!$C$8:$C$41,'SUPER K.O'!$D$8:$D$41,$C114)</f>
        <v>10</v>
      </c>
      <c r="I114" s="8">
        <f>SUMIFS('8 GAME'!$C$8:$C$21,'8 GAME'!$D$8:$D$21,$C114)</f>
        <v>0</v>
      </c>
      <c r="J114" s="8">
        <f>SUMIFS('100K OMAHA MYSTERY BOUNTY'!$C$8:$C$32,'100K OMAHA MYSTERY BOUNTY'!$D$8:$D$32,$C114)</f>
        <v>0</v>
      </c>
      <c r="K114" s="8">
        <f>SUMIFS('CHAMPIONSHIP HIGH ROLLER 200K'!$C$8:$C$72,'CHAMPIONSHIP HIGH ROLLER 200K'!$D$8:$D$72,$C114)</f>
        <v>10</v>
      </c>
      <c r="L114" s="8">
        <f>SUMIFS('PLO-NLH DEALER´S CHOICE PIJAMA'!$C$8:$C$27,'PLO-NLH DEALER´S CHOICE PIJAMA'!$D$8:$D$27,$C114)</f>
        <v>0</v>
      </c>
      <c r="M114" s="8">
        <f>SUMIFS('Main Event SPT - Dia Final'!$C$8:$C$221,'Main Event SPT - Dia Final'!$D$8:$D$221,$C114)</f>
        <v>10</v>
      </c>
      <c r="N114" s="8">
        <f>SUMIFS('SECOND CHANCE'!$C$8:$C$86,'SECOND CHANCE'!$D$8:$D$86,$C114)</f>
        <v>10</v>
      </c>
      <c r="O114" s="8">
        <f>SUMIFS('HIGH ROLLER 50K'!$C$8:$C$38,'HIGH ROLLER 50K'!$D$8:$D$38,$C114)</f>
        <v>10</v>
      </c>
      <c r="P114" s="8">
        <f>SUMIFS('OMAHA DEALER´S CHOICE'!$C$8:$C$30,'OMAHA DEALER´S CHOICE'!$D$8:$D$30,$C114)</f>
        <v>0</v>
      </c>
    </row>
    <row r="115" spans="1:16">
      <c r="A115" s="4">
        <f t="shared" si="2"/>
        <v>108</v>
      </c>
      <c r="B115" s="5" t="s">
        <v>128</v>
      </c>
      <c r="C115" s="6" t="s">
        <v>129</v>
      </c>
      <c r="D115" s="7">
        <f t="shared" si="3"/>
        <v>50</v>
      </c>
      <c r="E115" s="4">
        <f>COUNTIF('200K OMAHA 5 K.O'!$D$8:$D$37,$C115)+COUNTIF(HORSE!$D$8:$D$26,$C115)+COUNTIF('SUPER K.O'!$D$8:$D$41,$C115)+COUNTIF('8 GAME'!$D$8:$D$21,$C115)+COUNTIF('100K OMAHA MYSTERY BOUNTY'!$D$8:$D$32,$C115)+COUNTIF('CHAMPIONSHIP HIGH ROLLER 200K'!$D$8:$D$72,$C115)+COUNTIF('PLO-NLH DEALER´S CHOICE PIJAMA'!$D$8:$D$27,$C115)+COUNTIF('Main Event SPT - Dia Final'!$D$8:$D$221,$C115)+COUNTIF('SECOND CHANCE'!$D$8:$D$86,$C115)+COUNTIF('HIGH ROLLER 50K'!$D$8:$D$38,$C115)+COUNTIF('OMAHA DEALER´S CHOICE'!$D$8:$D$30,$C115)</f>
        <v>5</v>
      </c>
      <c r="F115" s="8">
        <f>SUMIFS('200K OMAHA 5 K.O'!$C$8:$C$37,'200K OMAHA 5 K.O'!$D$8:$D$37,$C115)</f>
        <v>0</v>
      </c>
      <c r="G115" s="8">
        <f>SUMIFS(HORSE!$C$8:$C$26,HORSE!$D$8:$D$26,$C115)</f>
        <v>0</v>
      </c>
      <c r="H115" s="8">
        <f>SUMIFS('SUPER K.O'!$C$8:$C$41,'SUPER K.O'!$D$8:$D$41,$C115)</f>
        <v>10</v>
      </c>
      <c r="I115" s="8">
        <f>SUMIFS('8 GAME'!$C$8:$C$21,'8 GAME'!$D$8:$D$21,$C115)</f>
        <v>0</v>
      </c>
      <c r="J115" s="8">
        <f>SUMIFS('100K OMAHA MYSTERY BOUNTY'!$C$8:$C$32,'100K OMAHA MYSTERY BOUNTY'!$D$8:$D$32,$C115)</f>
        <v>0</v>
      </c>
      <c r="K115" s="8">
        <f>SUMIFS('CHAMPIONSHIP HIGH ROLLER 200K'!$C$8:$C$72,'CHAMPIONSHIP HIGH ROLLER 200K'!$D$8:$D$72,$C115)</f>
        <v>10</v>
      </c>
      <c r="L115" s="8">
        <f>SUMIFS('PLO-NLH DEALER´S CHOICE PIJAMA'!$C$8:$C$27,'PLO-NLH DEALER´S CHOICE PIJAMA'!$D$8:$D$27,$C115)</f>
        <v>10</v>
      </c>
      <c r="M115" s="8">
        <f>SUMIFS('Main Event SPT - Dia Final'!$C$8:$C$221,'Main Event SPT - Dia Final'!$D$8:$D$221,$C115)</f>
        <v>10</v>
      </c>
      <c r="N115" s="8">
        <f>SUMIFS('SECOND CHANCE'!$C$8:$C$86,'SECOND CHANCE'!$D$8:$D$86,$C115)</f>
        <v>10</v>
      </c>
      <c r="O115" s="8">
        <f>SUMIFS('HIGH ROLLER 50K'!$C$8:$C$38,'HIGH ROLLER 50K'!$D$8:$D$38,$C115)</f>
        <v>0</v>
      </c>
      <c r="P115" s="8">
        <f>SUMIFS('OMAHA DEALER´S CHOICE'!$C$8:$C$30,'OMAHA DEALER´S CHOICE'!$D$8:$D$30,$C115)</f>
        <v>0</v>
      </c>
    </row>
    <row r="116" spans="1:16">
      <c r="A116" s="4">
        <f t="shared" si="2"/>
        <v>112</v>
      </c>
      <c r="B116" s="5" t="s">
        <v>55</v>
      </c>
      <c r="C116" s="6" t="s">
        <v>56</v>
      </c>
      <c r="D116" s="7">
        <f t="shared" si="3"/>
        <v>40</v>
      </c>
      <c r="E116" s="4">
        <f>COUNTIF('200K OMAHA 5 K.O'!$D$8:$D$37,$C116)+COUNTIF(HORSE!$D$8:$D$26,$C116)+COUNTIF('SUPER K.O'!$D$8:$D$41,$C116)+COUNTIF('8 GAME'!$D$8:$D$21,$C116)+COUNTIF('100K OMAHA MYSTERY BOUNTY'!$D$8:$D$32,$C116)+COUNTIF('CHAMPIONSHIP HIGH ROLLER 200K'!$D$8:$D$72,$C116)+COUNTIF('PLO-NLH DEALER´S CHOICE PIJAMA'!$D$8:$D$27,$C116)+COUNTIF('Main Event SPT - Dia Final'!$D$8:$D$221,$C116)+COUNTIF('SECOND CHANCE'!$D$8:$D$86,$C116)+COUNTIF('HIGH ROLLER 50K'!$D$8:$D$38,$C116)+COUNTIF('OMAHA DEALER´S CHOICE'!$D$8:$D$30,$C116)</f>
        <v>4</v>
      </c>
      <c r="F116" s="8">
        <f>SUMIFS('200K OMAHA 5 K.O'!$C$8:$C$37,'200K OMAHA 5 K.O'!$D$8:$D$37,$C116)</f>
        <v>10</v>
      </c>
      <c r="G116" s="8">
        <f>SUMIFS(HORSE!$C$8:$C$26,HORSE!$D$8:$D$26,$C116)</f>
        <v>0</v>
      </c>
      <c r="H116" s="8">
        <f>SUMIFS('SUPER K.O'!$C$8:$C$41,'SUPER K.O'!$D$8:$D$41,$C116)</f>
        <v>0</v>
      </c>
      <c r="I116" s="8">
        <f>SUMIFS('8 GAME'!$C$8:$C$21,'8 GAME'!$D$8:$D$21,$C116)</f>
        <v>0</v>
      </c>
      <c r="J116" s="8">
        <f>SUMIFS('100K OMAHA MYSTERY BOUNTY'!$C$8:$C$32,'100K OMAHA MYSTERY BOUNTY'!$D$8:$D$32,$C116)</f>
        <v>0</v>
      </c>
      <c r="K116" s="8">
        <f>SUMIFS('CHAMPIONSHIP HIGH ROLLER 200K'!$C$8:$C$72,'CHAMPIONSHIP HIGH ROLLER 200K'!$D$8:$D$72,$C116)</f>
        <v>0</v>
      </c>
      <c r="L116" s="8">
        <f>SUMIFS('PLO-NLH DEALER´S CHOICE PIJAMA'!$C$8:$C$27,'PLO-NLH DEALER´S CHOICE PIJAMA'!$D$8:$D$27,$C116)</f>
        <v>10</v>
      </c>
      <c r="M116" s="8">
        <f>SUMIFS('Main Event SPT - Dia Final'!$C$8:$C$221,'Main Event SPT - Dia Final'!$D$8:$D$221,$C116)</f>
        <v>10</v>
      </c>
      <c r="N116" s="8">
        <f>SUMIFS('SECOND CHANCE'!$C$8:$C$86,'SECOND CHANCE'!$D$8:$D$86,$C116)</f>
        <v>0</v>
      </c>
      <c r="O116" s="8">
        <f>SUMIFS('HIGH ROLLER 50K'!$C$8:$C$38,'HIGH ROLLER 50K'!$D$8:$D$38,$C116)</f>
        <v>0</v>
      </c>
      <c r="P116" s="8">
        <f>SUMIFS('OMAHA DEALER´S CHOICE'!$C$8:$C$30,'OMAHA DEALER´S CHOICE'!$D$8:$D$30,$C116)</f>
        <v>10</v>
      </c>
    </row>
    <row r="117" spans="1:16">
      <c r="A117" s="4">
        <f t="shared" si="2"/>
        <v>112</v>
      </c>
      <c r="B117" s="5" t="s">
        <v>53</v>
      </c>
      <c r="C117" s="6" t="s">
        <v>54</v>
      </c>
      <c r="D117" s="7">
        <f t="shared" si="3"/>
        <v>40</v>
      </c>
      <c r="E117" s="4">
        <f>COUNTIF('200K OMAHA 5 K.O'!$D$8:$D$37,$C117)+COUNTIF(HORSE!$D$8:$D$26,$C117)+COUNTIF('SUPER K.O'!$D$8:$D$41,$C117)+COUNTIF('8 GAME'!$D$8:$D$21,$C117)+COUNTIF('100K OMAHA MYSTERY BOUNTY'!$D$8:$D$32,$C117)+COUNTIF('CHAMPIONSHIP HIGH ROLLER 200K'!$D$8:$D$72,$C117)+COUNTIF('PLO-NLH DEALER´S CHOICE PIJAMA'!$D$8:$D$27,$C117)+COUNTIF('Main Event SPT - Dia Final'!$D$8:$D$221,$C117)+COUNTIF('SECOND CHANCE'!$D$8:$D$86,$C117)+COUNTIF('HIGH ROLLER 50K'!$D$8:$D$38,$C117)+COUNTIF('OMAHA DEALER´S CHOICE'!$D$8:$D$30,$C117)</f>
        <v>4</v>
      </c>
      <c r="F117" s="8">
        <f>SUMIFS('200K OMAHA 5 K.O'!$C$8:$C$37,'200K OMAHA 5 K.O'!$D$8:$D$37,$C117)</f>
        <v>10</v>
      </c>
      <c r="G117" s="8">
        <f>SUMIFS(HORSE!$C$8:$C$26,HORSE!$D$8:$D$26,$C117)</f>
        <v>0</v>
      </c>
      <c r="H117" s="8">
        <f>SUMIFS('SUPER K.O'!$C$8:$C$41,'SUPER K.O'!$D$8:$D$41,$C117)</f>
        <v>0</v>
      </c>
      <c r="I117" s="8">
        <f>SUMIFS('8 GAME'!$C$8:$C$21,'8 GAME'!$D$8:$D$21,$C117)</f>
        <v>0</v>
      </c>
      <c r="J117" s="8">
        <f>SUMIFS('100K OMAHA MYSTERY BOUNTY'!$C$8:$C$32,'100K OMAHA MYSTERY BOUNTY'!$D$8:$D$32,$C117)</f>
        <v>10</v>
      </c>
      <c r="K117" s="8">
        <f>SUMIFS('CHAMPIONSHIP HIGH ROLLER 200K'!$C$8:$C$72,'CHAMPIONSHIP HIGH ROLLER 200K'!$D$8:$D$72,$C117)</f>
        <v>0</v>
      </c>
      <c r="L117" s="8">
        <f>SUMIFS('PLO-NLH DEALER´S CHOICE PIJAMA'!$C$8:$C$27,'PLO-NLH DEALER´S CHOICE PIJAMA'!$D$8:$D$27,$C117)</f>
        <v>0</v>
      </c>
      <c r="M117" s="8">
        <f>SUMIFS('Main Event SPT - Dia Final'!$C$8:$C$221,'Main Event SPT - Dia Final'!$D$8:$D$221,$C117)</f>
        <v>10</v>
      </c>
      <c r="N117" s="8">
        <f>SUMIFS('SECOND CHANCE'!$C$8:$C$86,'SECOND CHANCE'!$D$8:$D$86,$C117)</f>
        <v>0</v>
      </c>
      <c r="O117" s="8">
        <f>SUMIFS('HIGH ROLLER 50K'!$C$8:$C$38,'HIGH ROLLER 50K'!$D$8:$D$38,$C117)</f>
        <v>10</v>
      </c>
      <c r="P117" s="8">
        <f>SUMIFS('OMAHA DEALER´S CHOICE'!$C$8:$C$30,'OMAHA DEALER´S CHOICE'!$D$8:$D$30,$C117)</f>
        <v>0</v>
      </c>
    </row>
    <row r="118" spans="1:16">
      <c r="A118" s="4">
        <f t="shared" si="2"/>
        <v>112</v>
      </c>
      <c r="B118" s="5" t="s">
        <v>63</v>
      </c>
      <c r="C118" s="6" t="s">
        <v>64</v>
      </c>
      <c r="D118" s="7">
        <f t="shared" si="3"/>
        <v>40</v>
      </c>
      <c r="E118" s="4">
        <f>COUNTIF('200K OMAHA 5 K.O'!$D$8:$D$37,$C118)+COUNTIF(HORSE!$D$8:$D$26,$C118)+COUNTIF('SUPER K.O'!$D$8:$D$41,$C118)+COUNTIF('8 GAME'!$D$8:$D$21,$C118)+COUNTIF('100K OMAHA MYSTERY BOUNTY'!$D$8:$D$32,$C118)+COUNTIF('CHAMPIONSHIP HIGH ROLLER 200K'!$D$8:$D$72,$C118)+COUNTIF('PLO-NLH DEALER´S CHOICE PIJAMA'!$D$8:$D$27,$C118)+COUNTIF('Main Event SPT - Dia Final'!$D$8:$D$221,$C118)+COUNTIF('SECOND CHANCE'!$D$8:$D$86,$C118)+COUNTIF('HIGH ROLLER 50K'!$D$8:$D$38,$C118)+COUNTIF('OMAHA DEALER´S CHOICE'!$D$8:$D$30,$C118)</f>
        <v>4</v>
      </c>
      <c r="F118" s="8">
        <f>SUMIFS('200K OMAHA 5 K.O'!$C$8:$C$37,'200K OMAHA 5 K.O'!$D$8:$D$37,$C118)</f>
        <v>10</v>
      </c>
      <c r="G118" s="8">
        <f>SUMIFS(HORSE!$C$8:$C$26,HORSE!$D$8:$D$26,$C118)</f>
        <v>0</v>
      </c>
      <c r="H118" s="8">
        <f>SUMIFS('SUPER K.O'!$C$8:$C$41,'SUPER K.O'!$D$8:$D$41,$C118)</f>
        <v>10</v>
      </c>
      <c r="I118" s="8">
        <f>SUMIFS('8 GAME'!$C$8:$C$21,'8 GAME'!$D$8:$D$21,$C118)</f>
        <v>0</v>
      </c>
      <c r="J118" s="8">
        <f>SUMIFS('100K OMAHA MYSTERY BOUNTY'!$C$8:$C$32,'100K OMAHA MYSTERY BOUNTY'!$D$8:$D$32,$C118)</f>
        <v>0</v>
      </c>
      <c r="K118" s="8">
        <f>SUMIFS('CHAMPIONSHIP HIGH ROLLER 200K'!$C$8:$C$72,'CHAMPIONSHIP HIGH ROLLER 200K'!$D$8:$D$72,$C118)</f>
        <v>10</v>
      </c>
      <c r="L118" s="8">
        <f>SUMIFS('PLO-NLH DEALER´S CHOICE PIJAMA'!$C$8:$C$27,'PLO-NLH DEALER´S CHOICE PIJAMA'!$D$8:$D$27,$C118)</f>
        <v>0</v>
      </c>
      <c r="M118" s="8">
        <f>SUMIFS('Main Event SPT - Dia Final'!$C$8:$C$221,'Main Event SPT - Dia Final'!$D$8:$D$221,$C118)</f>
        <v>10</v>
      </c>
      <c r="N118" s="8">
        <f>SUMIFS('SECOND CHANCE'!$C$8:$C$86,'SECOND CHANCE'!$D$8:$D$86,$C118)</f>
        <v>0</v>
      </c>
      <c r="O118" s="8">
        <f>SUMIFS('HIGH ROLLER 50K'!$C$8:$C$38,'HIGH ROLLER 50K'!$D$8:$D$38,$C118)</f>
        <v>0</v>
      </c>
      <c r="P118" s="8">
        <f>SUMIFS('OMAHA DEALER´S CHOICE'!$C$8:$C$30,'OMAHA DEALER´S CHOICE'!$D$8:$D$30,$C118)</f>
        <v>0</v>
      </c>
    </row>
    <row r="119" spans="1:16">
      <c r="A119" s="4">
        <f t="shared" si="2"/>
        <v>112</v>
      </c>
      <c r="B119" s="5" t="s">
        <v>65</v>
      </c>
      <c r="C119" s="6" t="s">
        <v>66</v>
      </c>
      <c r="D119" s="7">
        <f t="shared" si="3"/>
        <v>40</v>
      </c>
      <c r="E119" s="4">
        <f>COUNTIF('200K OMAHA 5 K.O'!$D$8:$D$37,$C119)+COUNTIF(HORSE!$D$8:$D$26,$C119)+COUNTIF('SUPER K.O'!$D$8:$D$41,$C119)+COUNTIF('8 GAME'!$D$8:$D$21,$C119)+COUNTIF('100K OMAHA MYSTERY BOUNTY'!$D$8:$D$32,$C119)+COUNTIF('CHAMPIONSHIP HIGH ROLLER 200K'!$D$8:$D$72,$C119)+COUNTIF('PLO-NLH DEALER´S CHOICE PIJAMA'!$D$8:$D$27,$C119)+COUNTIF('Main Event SPT - Dia Final'!$D$8:$D$221,$C119)+COUNTIF('SECOND CHANCE'!$D$8:$D$86,$C119)+COUNTIF('HIGH ROLLER 50K'!$D$8:$D$38,$C119)+COUNTIF('OMAHA DEALER´S CHOICE'!$D$8:$D$30,$C119)</f>
        <v>4</v>
      </c>
      <c r="F119" s="8">
        <f>SUMIFS('200K OMAHA 5 K.O'!$C$8:$C$37,'200K OMAHA 5 K.O'!$D$8:$D$37,$C119)</f>
        <v>10</v>
      </c>
      <c r="G119" s="8">
        <f>SUMIFS(HORSE!$C$8:$C$26,HORSE!$D$8:$D$26,$C119)</f>
        <v>0</v>
      </c>
      <c r="H119" s="8">
        <f>SUMIFS('SUPER K.O'!$C$8:$C$41,'SUPER K.O'!$D$8:$D$41,$C119)</f>
        <v>0</v>
      </c>
      <c r="I119" s="8">
        <f>SUMIFS('8 GAME'!$C$8:$C$21,'8 GAME'!$D$8:$D$21,$C119)</f>
        <v>0</v>
      </c>
      <c r="J119" s="8">
        <f>SUMIFS('100K OMAHA MYSTERY BOUNTY'!$C$8:$C$32,'100K OMAHA MYSTERY BOUNTY'!$D$8:$D$32,$C119)</f>
        <v>10</v>
      </c>
      <c r="K119" s="8">
        <f>SUMIFS('CHAMPIONSHIP HIGH ROLLER 200K'!$C$8:$C$72,'CHAMPIONSHIP HIGH ROLLER 200K'!$D$8:$D$72,$C119)</f>
        <v>10</v>
      </c>
      <c r="L119" s="8">
        <f>SUMIFS('PLO-NLH DEALER´S CHOICE PIJAMA'!$C$8:$C$27,'PLO-NLH DEALER´S CHOICE PIJAMA'!$D$8:$D$27,$C119)</f>
        <v>0</v>
      </c>
      <c r="M119" s="8">
        <f>SUMIFS('Main Event SPT - Dia Final'!$C$8:$C$221,'Main Event SPT - Dia Final'!$D$8:$D$221,$C119)</f>
        <v>10</v>
      </c>
      <c r="N119" s="8">
        <f>SUMIFS('SECOND CHANCE'!$C$8:$C$86,'SECOND CHANCE'!$D$8:$D$86,$C119)</f>
        <v>0</v>
      </c>
      <c r="O119" s="8">
        <f>SUMIFS('HIGH ROLLER 50K'!$C$8:$C$38,'HIGH ROLLER 50K'!$D$8:$D$38,$C119)</f>
        <v>0</v>
      </c>
      <c r="P119" s="8">
        <f>SUMIFS('OMAHA DEALER´S CHOICE'!$C$8:$C$30,'OMAHA DEALER´S CHOICE'!$D$8:$D$30,$C119)</f>
        <v>0</v>
      </c>
    </row>
    <row r="120" spans="1:16">
      <c r="A120" s="4">
        <f t="shared" si="2"/>
        <v>112</v>
      </c>
      <c r="B120" s="5" t="s">
        <v>160</v>
      </c>
      <c r="C120" s="6" t="s">
        <v>161</v>
      </c>
      <c r="D120" s="7">
        <f t="shared" si="3"/>
        <v>40</v>
      </c>
      <c r="E120" s="4">
        <f>COUNTIF('200K OMAHA 5 K.O'!$D$8:$D$37,$C120)+COUNTIF(HORSE!$D$8:$D$26,$C120)+COUNTIF('SUPER K.O'!$D$8:$D$41,$C120)+COUNTIF('8 GAME'!$D$8:$D$21,$C120)+COUNTIF('100K OMAHA MYSTERY BOUNTY'!$D$8:$D$32,$C120)+COUNTIF('CHAMPIONSHIP HIGH ROLLER 200K'!$D$8:$D$72,$C120)+COUNTIF('PLO-NLH DEALER´S CHOICE PIJAMA'!$D$8:$D$27,$C120)+COUNTIF('Main Event SPT - Dia Final'!$D$8:$D$221,$C120)+COUNTIF('SECOND CHANCE'!$D$8:$D$86,$C120)+COUNTIF('HIGH ROLLER 50K'!$D$8:$D$38,$C120)+COUNTIF('OMAHA DEALER´S CHOICE'!$D$8:$D$30,$C120)</f>
        <v>4</v>
      </c>
      <c r="F120" s="8">
        <f>SUMIFS('200K OMAHA 5 K.O'!$C$8:$C$37,'200K OMAHA 5 K.O'!$D$8:$D$37,$C120)</f>
        <v>0</v>
      </c>
      <c r="G120" s="8">
        <f>SUMIFS(HORSE!$C$8:$C$26,HORSE!$D$8:$D$26,$C120)</f>
        <v>0</v>
      </c>
      <c r="H120" s="8">
        <f>SUMIFS('SUPER K.O'!$C$8:$C$41,'SUPER K.O'!$D$8:$D$41,$C120)</f>
        <v>10</v>
      </c>
      <c r="I120" s="8">
        <f>SUMIFS('8 GAME'!$C$8:$C$21,'8 GAME'!$D$8:$D$21,$C120)</f>
        <v>0</v>
      </c>
      <c r="J120" s="8">
        <f>SUMIFS('100K OMAHA MYSTERY BOUNTY'!$C$8:$C$32,'100K OMAHA MYSTERY BOUNTY'!$D$8:$D$32,$C120)</f>
        <v>0</v>
      </c>
      <c r="K120" s="8">
        <f>SUMIFS('CHAMPIONSHIP HIGH ROLLER 200K'!$C$8:$C$72,'CHAMPIONSHIP HIGH ROLLER 200K'!$D$8:$D$72,$C120)</f>
        <v>10</v>
      </c>
      <c r="L120" s="8">
        <f>SUMIFS('PLO-NLH DEALER´S CHOICE PIJAMA'!$C$8:$C$27,'PLO-NLH DEALER´S CHOICE PIJAMA'!$D$8:$D$27,$C120)</f>
        <v>0</v>
      </c>
      <c r="M120" s="8">
        <f>SUMIFS('Main Event SPT - Dia Final'!$C$8:$C$221,'Main Event SPT - Dia Final'!$D$8:$D$221,$C120)</f>
        <v>10</v>
      </c>
      <c r="N120" s="8">
        <f>SUMIFS('SECOND CHANCE'!$C$8:$C$86,'SECOND CHANCE'!$D$8:$D$86,$C120)</f>
        <v>0</v>
      </c>
      <c r="O120" s="8">
        <f>SUMIFS('HIGH ROLLER 50K'!$C$8:$C$38,'HIGH ROLLER 50K'!$D$8:$D$38,$C120)</f>
        <v>10</v>
      </c>
      <c r="P120" s="8">
        <f>SUMIFS('OMAHA DEALER´S CHOICE'!$C$8:$C$30,'OMAHA DEALER´S CHOICE'!$D$8:$D$30,$C120)</f>
        <v>0</v>
      </c>
    </row>
    <row r="121" spans="1:16">
      <c r="A121" s="4">
        <f t="shared" si="2"/>
        <v>112</v>
      </c>
      <c r="B121" s="5" t="s">
        <v>144</v>
      </c>
      <c r="C121" s="6" t="s">
        <v>145</v>
      </c>
      <c r="D121" s="7">
        <f t="shared" si="3"/>
        <v>40</v>
      </c>
      <c r="E121" s="4">
        <f>COUNTIF('200K OMAHA 5 K.O'!$D$8:$D$37,$C121)+COUNTIF(HORSE!$D$8:$D$26,$C121)+COUNTIF('SUPER K.O'!$D$8:$D$41,$C121)+COUNTIF('8 GAME'!$D$8:$D$21,$C121)+COUNTIF('100K OMAHA MYSTERY BOUNTY'!$D$8:$D$32,$C121)+COUNTIF('CHAMPIONSHIP HIGH ROLLER 200K'!$D$8:$D$72,$C121)+COUNTIF('PLO-NLH DEALER´S CHOICE PIJAMA'!$D$8:$D$27,$C121)+COUNTIF('Main Event SPT - Dia Final'!$D$8:$D$221,$C121)+COUNTIF('SECOND CHANCE'!$D$8:$D$86,$C121)+COUNTIF('HIGH ROLLER 50K'!$D$8:$D$38,$C121)+COUNTIF('OMAHA DEALER´S CHOICE'!$D$8:$D$30,$C121)</f>
        <v>4</v>
      </c>
      <c r="F121" s="8">
        <f>SUMIFS('200K OMAHA 5 K.O'!$C$8:$C$37,'200K OMAHA 5 K.O'!$D$8:$D$37,$C121)</f>
        <v>0</v>
      </c>
      <c r="G121" s="8">
        <f>SUMIFS(HORSE!$C$8:$C$26,HORSE!$D$8:$D$26,$C121)</f>
        <v>0</v>
      </c>
      <c r="H121" s="8">
        <f>SUMIFS('SUPER K.O'!$C$8:$C$41,'SUPER K.O'!$D$8:$D$41,$C121)</f>
        <v>10</v>
      </c>
      <c r="I121" s="8">
        <f>SUMIFS('8 GAME'!$C$8:$C$21,'8 GAME'!$D$8:$D$21,$C121)</f>
        <v>0</v>
      </c>
      <c r="J121" s="8">
        <f>SUMIFS('100K OMAHA MYSTERY BOUNTY'!$C$8:$C$32,'100K OMAHA MYSTERY BOUNTY'!$D$8:$D$32,$C121)</f>
        <v>0</v>
      </c>
      <c r="K121" s="8">
        <f>SUMIFS('CHAMPIONSHIP HIGH ROLLER 200K'!$C$8:$C$72,'CHAMPIONSHIP HIGH ROLLER 200K'!$D$8:$D$72,$C121)</f>
        <v>10</v>
      </c>
      <c r="L121" s="8">
        <f>SUMIFS('PLO-NLH DEALER´S CHOICE PIJAMA'!$C$8:$C$27,'PLO-NLH DEALER´S CHOICE PIJAMA'!$D$8:$D$27,$C121)</f>
        <v>0</v>
      </c>
      <c r="M121" s="8">
        <f>SUMIFS('Main Event SPT - Dia Final'!$C$8:$C$221,'Main Event SPT - Dia Final'!$D$8:$D$221,$C121)</f>
        <v>10</v>
      </c>
      <c r="N121" s="8">
        <f>SUMIFS('SECOND CHANCE'!$C$8:$C$86,'SECOND CHANCE'!$D$8:$D$86,$C121)</f>
        <v>0</v>
      </c>
      <c r="O121" s="8">
        <f>SUMIFS('HIGH ROLLER 50K'!$C$8:$C$38,'HIGH ROLLER 50K'!$D$8:$D$38,$C121)</f>
        <v>10</v>
      </c>
      <c r="P121" s="8">
        <f>SUMIFS('OMAHA DEALER´S CHOICE'!$C$8:$C$30,'OMAHA DEALER´S CHOICE'!$D$8:$D$30,$C121)</f>
        <v>0</v>
      </c>
    </row>
    <row r="122" spans="1:16">
      <c r="A122" s="4">
        <f t="shared" si="2"/>
        <v>112</v>
      </c>
      <c r="B122" s="5" t="s">
        <v>134</v>
      </c>
      <c r="C122" s="6" t="s">
        <v>135</v>
      </c>
      <c r="D122" s="7">
        <f t="shared" si="3"/>
        <v>40</v>
      </c>
      <c r="E122" s="4">
        <f>COUNTIF('200K OMAHA 5 K.O'!$D$8:$D$37,$C122)+COUNTIF(HORSE!$D$8:$D$26,$C122)+COUNTIF('SUPER K.O'!$D$8:$D$41,$C122)+COUNTIF('8 GAME'!$D$8:$D$21,$C122)+COUNTIF('100K OMAHA MYSTERY BOUNTY'!$D$8:$D$32,$C122)+COUNTIF('CHAMPIONSHIP HIGH ROLLER 200K'!$D$8:$D$72,$C122)+COUNTIF('PLO-NLH DEALER´S CHOICE PIJAMA'!$D$8:$D$27,$C122)+COUNTIF('Main Event SPT - Dia Final'!$D$8:$D$221,$C122)+COUNTIF('SECOND CHANCE'!$D$8:$D$86,$C122)+COUNTIF('HIGH ROLLER 50K'!$D$8:$D$38,$C122)+COUNTIF('OMAHA DEALER´S CHOICE'!$D$8:$D$30,$C122)</f>
        <v>4</v>
      </c>
      <c r="F122" s="8">
        <f>SUMIFS('200K OMAHA 5 K.O'!$C$8:$C$37,'200K OMAHA 5 K.O'!$D$8:$D$37,$C122)</f>
        <v>0</v>
      </c>
      <c r="G122" s="8">
        <f>SUMIFS(HORSE!$C$8:$C$26,HORSE!$D$8:$D$26,$C122)</f>
        <v>0</v>
      </c>
      <c r="H122" s="8">
        <f>SUMIFS('SUPER K.O'!$C$8:$C$41,'SUPER K.O'!$D$8:$D$41,$C122)</f>
        <v>10</v>
      </c>
      <c r="I122" s="8">
        <f>SUMIFS('8 GAME'!$C$8:$C$21,'8 GAME'!$D$8:$D$21,$C122)</f>
        <v>0</v>
      </c>
      <c r="J122" s="8">
        <f>SUMIFS('100K OMAHA MYSTERY BOUNTY'!$C$8:$C$32,'100K OMAHA MYSTERY BOUNTY'!$D$8:$D$32,$C122)</f>
        <v>0</v>
      </c>
      <c r="K122" s="8">
        <f>SUMIFS('CHAMPIONSHIP HIGH ROLLER 200K'!$C$8:$C$72,'CHAMPIONSHIP HIGH ROLLER 200K'!$D$8:$D$72,$C122)</f>
        <v>10</v>
      </c>
      <c r="L122" s="8">
        <f>SUMIFS('PLO-NLH DEALER´S CHOICE PIJAMA'!$C$8:$C$27,'PLO-NLH DEALER´S CHOICE PIJAMA'!$D$8:$D$27,$C122)</f>
        <v>0</v>
      </c>
      <c r="M122" s="8">
        <f>SUMIFS('Main Event SPT - Dia Final'!$C$8:$C$221,'Main Event SPT - Dia Final'!$D$8:$D$221,$C122)</f>
        <v>10</v>
      </c>
      <c r="N122" s="8">
        <f>SUMIFS('SECOND CHANCE'!$C$8:$C$86,'SECOND CHANCE'!$D$8:$D$86,$C122)</f>
        <v>10</v>
      </c>
      <c r="O122" s="8">
        <f>SUMIFS('HIGH ROLLER 50K'!$C$8:$C$38,'HIGH ROLLER 50K'!$D$8:$D$38,$C122)</f>
        <v>0</v>
      </c>
      <c r="P122" s="8">
        <f>SUMIFS('OMAHA DEALER´S CHOICE'!$C$8:$C$30,'OMAHA DEALER´S CHOICE'!$D$8:$D$30,$C122)</f>
        <v>0</v>
      </c>
    </row>
    <row r="123" spans="1:16">
      <c r="A123" s="4">
        <f t="shared" si="2"/>
        <v>112</v>
      </c>
      <c r="B123" s="5" t="s">
        <v>126</v>
      </c>
      <c r="C123" s="6" t="s">
        <v>127</v>
      </c>
      <c r="D123" s="7">
        <f t="shared" si="3"/>
        <v>40</v>
      </c>
      <c r="E123" s="4">
        <f>COUNTIF('200K OMAHA 5 K.O'!$D$8:$D$37,$C123)+COUNTIF(HORSE!$D$8:$D$26,$C123)+COUNTIF('SUPER K.O'!$D$8:$D$41,$C123)+COUNTIF('8 GAME'!$D$8:$D$21,$C123)+COUNTIF('100K OMAHA MYSTERY BOUNTY'!$D$8:$D$32,$C123)+COUNTIF('CHAMPIONSHIP HIGH ROLLER 200K'!$D$8:$D$72,$C123)+COUNTIF('PLO-NLH DEALER´S CHOICE PIJAMA'!$D$8:$D$27,$C123)+COUNTIF('Main Event SPT - Dia Final'!$D$8:$D$221,$C123)+COUNTIF('SECOND CHANCE'!$D$8:$D$86,$C123)+COUNTIF('HIGH ROLLER 50K'!$D$8:$D$38,$C123)+COUNTIF('OMAHA DEALER´S CHOICE'!$D$8:$D$30,$C123)</f>
        <v>4</v>
      </c>
      <c r="F123" s="8">
        <f>SUMIFS('200K OMAHA 5 K.O'!$C$8:$C$37,'200K OMAHA 5 K.O'!$D$8:$D$37,$C123)</f>
        <v>0</v>
      </c>
      <c r="G123" s="8">
        <f>SUMIFS(HORSE!$C$8:$C$26,HORSE!$D$8:$D$26,$C123)</f>
        <v>0</v>
      </c>
      <c r="H123" s="8">
        <f>SUMIFS('SUPER K.O'!$C$8:$C$41,'SUPER K.O'!$D$8:$D$41,$C123)</f>
        <v>10</v>
      </c>
      <c r="I123" s="8">
        <f>SUMIFS('8 GAME'!$C$8:$C$21,'8 GAME'!$D$8:$D$21,$C123)</f>
        <v>0</v>
      </c>
      <c r="J123" s="8">
        <f>SUMIFS('100K OMAHA MYSTERY BOUNTY'!$C$8:$C$32,'100K OMAHA MYSTERY BOUNTY'!$D$8:$D$32,$C123)</f>
        <v>0</v>
      </c>
      <c r="K123" s="8">
        <f>SUMIFS('CHAMPIONSHIP HIGH ROLLER 200K'!$C$8:$C$72,'CHAMPIONSHIP HIGH ROLLER 200K'!$D$8:$D$72,$C123)</f>
        <v>10</v>
      </c>
      <c r="L123" s="8">
        <f>SUMIFS('PLO-NLH DEALER´S CHOICE PIJAMA'!$C$8:$C$27,'PLO-NLH DEALER´S CHOICE PIJAMA'!$D$8:$D$27,$C123)</f>
        <v>0</v>
      </c>
      <c r="M123" s="8">
        <f>SUMIFS('Main Event SPT - Dia Final'!$C$8:$C$221,'Main Event SPT - Dia Final'!$D$8:$D$221,$C123)</f>
        <v>10</v>
      </c>
      <c r="N123" s="8">
        <f>SUMIFS('SECOND CHANCE'!$C$8:$C$86,'SECOND CHANCE'!$D$8:$D$86,$C123)</f>
        <v>0</v>
      </c>
      <c r="O123" s="8">
        <f>SUMIFS('HIGH ROLLER 50K'!$C$8:$C$38,'HIGH ROLLER 50K'!$D$8:$D$38,$C123)</f>
        <v>10</v>
      </c>
      <c r="P123" s="8">
        <f>SUMIFS('OMAHA DEALER´S CHOICE'!$C$8:$C$30,'OMAHA DEALER´S CHOICE'!$D$8:$D$30,$C123)</f>
        <v>0</v>
      </c>
    </row>
    <row r="124" spans="1:16">
      <c r="A124" s="4">
        <f t="shared" si="2"/>
        <v>120</v>
      </c>
      <c r="B124" s="5" t="s">
        <v>103</v>
      </c>
      <c r="C124" s="6" t="s">
        <v>104</v>
      </c>
      <c r="D124" s="7">
        <f t="shared" si="3"/>
        <v>30</v>
      </c>
      <c r="E124" s="4">
        <f>COUNTIF('200K OMAHA 5 K.O'!$D$8:$D$37,$C124)+COUNTIF(HORSE!$D$8:$D$26,$C124)+COUNTIF('SUPER K.O'!$D$8:$D$41,$C124)+COUNTIF('8 GAME'!$D$8:$D$21,$C124)+COUNTIF('100K OMAHA MYSTERY BOUNTY'!$D$8:$D$32,$C124)+COUNTIF('CHAMPIONSHIP HIGH ROLLER 200K'!$D$8:$D$72,$C124)+COUNTIF('PLO-NLH DEALER´S CHOICE PIJAMA'!$D$8:$D$27,$C124)+COUNTIF('Main Event SPT - Dia Final'!$D$8:$D$221,$C124)+COUNTIF('SECOND CHANCE'!$D$8:$D$86,$C124)+COUNTIF('HIGH ROLLER 50K'!$D$8:$D$38,$C124)+COUNTIF('OMAHA DEALER´S CHOICE'!$D$8:$D$30,$C124)</f>
        <v>3</v>
      </c>
      <c r="F124" s="8">
        <f>SUMIFS('200K OMAHA 5 K.O'!$C$8:$C$37,'200K OMAHA 5 K.O'!$D$8:$D$37,$C124)</f>
        <v>0</v>
      </c>
      <c r="G124" s="8">
        <f>SUMIFS(HORSE!$C$8:$C$26,HORSE!$D$8:$D$26,$C124)</f>
        <v>10</v>
      </c>
      <c r="H124" s="8">
        <f>SUMIFS('SUPER K.O'!$C$8:$C$41,'SUPER K.O'!$D$8:$D$41,$C124)</f>
        <v>0</v>
      </c>
      <c r="I124" s="8">
        <f>SUMIFS('8 GAME'!$C$8:$C$21,'8 GAME'!$D$8:$D$21,$C124)</f>
        <v>0</v>
      </c>
      <c r="J124" s="8">
        <f>SUMIFS('100K OMAHA MYSTERY BOUNTY'!$C$8:$C$32,'100K OMAHA MYSTERY BOUNTY'!$D$8:$D$32,$C124)</f>
        <v>0</v>
      </c>
      <c r="K124" s="8">
        <f>SUMIFS('CHAMPIONSHIP HIGH ROLLER 200K'!$C$8:$C$72,'CHAMPIONSHIP HIGH ROLLER 200K'!$D$8:$D$72,$C124)</f>
        <v>0</v>
      </c>
      <c r="L124" s="8">
        <f>SUMIFS('PLO-NLH DEALER´S CHOICE PIJAMA'!$C$8:$C$27,'PLO-NLH DEALER´S CHOICE PIJAMA'!$D$8:$D$27,$C124)</f>
        <v>0</v>
      </c>
      <c r="M124" s="8">
        <f>SUMIFS('Main Event SPT - Dia Final'!$C$8:$C$221,'Main Event SPT - Dia Final'!$D$8:$D$221,$C124)</f>
        <v>10</v>
      </c>
      <c r="N124" s="8">
        <f>SUMIFS('SECOND CHANCE'!$C$8:$C$86,'SECOND CHANCE'!$D$8:$D$86,$C124)</f>
        <v>10</v>
      </c>
      <c r="O124" s="8">
        <f>SUMIFS('HIGH ROLLER 50K'!$C$8:$C$38,'HIGH ROLLER 50K'!$D$8:$D$38,$C124)</f>
        <v>0</v>
      </c>
      <c r="P124" s="8">
        <f>SUMIFS('OMAHA DEALER´S CHOICE'!$C$8:$C$30,'OMAHA DEALER´S CHOICE'!$D$8:$D$30,$C124)</f>
        <v>0</v>
      </c>
    </row>
    <row r="125" spans="1:16">
      <c r="A125" s="4">
        <f t="shared" si="2"/>
        <v>120</v>
      </c>
      <c r="B125" s="5" t="s">
        <v>95</v>
      </c>
      <c r="C125" s="6" t="s">
        <v>96</v>
      </c>
      <c r="D125" s="7">
        <f t="shared" si="3"/>
        <v>30</v>
      </c>
      <c r="E125" s="4">
        <f>COUNTIF('200K OMAHA 5 K.O'!$D$8:$D$37,$C125)+COUNTIF(HORSE!$D$8:$D$26,$C125)+COUNTIF('SUPER K.O'!$D$8:$D$41,$C125)+COUNTIF('8 GAME'!$D$8:$D$21,$C125)+COUNTIF('100K OMAHA MYSTERY BOUNTY'!$D$8:$D$32,$C125)+COUNTIF('CHAMPIONSHIP HIGH ROLLER 200K'!$D$8:$D$72,$C125)+COUNTIF('PLO-NLH DEALER´S CHOICE PIJAMA'!$D$8:$D$27,$C125)+COUNTIF('Main Event SPT - Dia Final'!$D$8:$D$221,$C125)+COUNTIF('SECOND CHANCE'!$D$8:$D$86,$C125)+COUNTIF('HIGH ROLLER 50K'!$D$8:$D$38,$C125)+COUNTIF('OMAHA DEALER´S CHOICE'!$D$8:$D$30,$C125)</f>
        <v>3</v>
      </c>
      <c r="F125" s="8">
        <f>SUMIFS('200K OMAHA 5 K.O'!$C$8:$C$37,'200K OMAHA 5 K.O'!$D$8:$D$37,$C125)</f>
        <v>0</v>
      </c>
      <c r="G125" s="8">
        <f>SUMIFS(HORSE!$C$8:$C$26,HORSE!$D$8:$D$26,$C125)</f>
        <v>10</v>
      </c>
      <c r="H125" s="8">
        <f>SUMIFS('SUPER K.O'!$C$8:$C$41,'SUPER K.O'!$D$8:$D$41,$C125)</f>
        <v>0</v>
      </c>
      <c r="I125" s="8">
        <f>SUMIFS('8 GAME'!$C$8:$C$21,'8 GAME'!$D$8:$D$21,$C125)</f>
        <v>10</v>
      </c>
      <c r="J125" s="8">
        <f>SUMIFS('100K OMAHA MYSTERY BOUNTY'!$C$8:$C$32,'100K OMAHA MYSTERY BOUNTY'!$D$8:$D$32,$C125)</f>
        <v>0</v>
      </c>
      <c r="K125" s="8">
        <f>SUMIFS('CHAMPIONSHIP HIGH ROLLER 200K'!$C$8:$C$72,'CHAMPIONSHIP HIGH ROLLER 200K'!$D$8:$D$72,$C125)</f>
        <v>0</v>
      </c>
      <c r="L125" s="8">
        <f>SUMIFS('PLO-NLH DEALER´S CHOICE PIJAMA'!$C$8:$C$27,'PLO-NLH DEALER´S CHOICE PIJAMA'!$D$8:$D$27,$C125)</f>
        <v>0</v>
      </c>
      <c r="M125" s="8">
        <f>SUMIFS('Main Event SPT - Dia Final'!$C$8:$C$221,'Main Event SPT - Dia Final'!$D$8:$D$221,$C125)</f>
        <v>0</v>
      </c>
      <c r="N125" s="8">
        <f>SUMIFS('SECOND CHANCE'!$C$8:$C$86,'SECOND CHANCE'!$D$8:$D$86,$C125)</f>
        <v>0</v>
      </c>
      <c r="O125" s="8">
        <f>SUMIFS('HIGH ROLLER 50K'!$C$8:$C$38,'HIGH ROLLER 50K'!$D$8:$D$38,$C125)</f>
        <v>0</v>
      </c>
      <c r="P125" s="8">
        <f>SUMIFS('OMAHA DEALER´S CHOICE'!$C$8:$C$30,'OMAHA DEALER´S CHOICE'!$D$8:$D$30,$C125)</f>
        <v>10</v>
      </c>
    </row>
    <row r="126" spans="1:16">
      <c r="A126" s="4">
        <f t="shared" si="2"/>
        <v>120</v>
      </c>
      <c r="B126" s="5" t="s">
        <v>87</v>
      </c>
      <c r="C126" s="6" t="s">
        <v>88</v>
      </c>
      <c r="D126" s="7">
        <f t="shared" si="3"/>
        <v>30</v>
      </c>
      <c r="E126" s="4">
        <f>COUNTIF('200K OMAHA 5 K.O'!$D$8:$D$37,$C126)+COUNTIF(HORSE!$D$8:$D$26,$C126)+COUNTIF('SUPER K.O'!$D$8:$D$41,$C126)+COUNTIF('8 GAME'!$D$8:$D$21,$C126)+COUNTIF('100K OMAHA MYSTERY BOUNTY'!$D$8:$D$32,$C126)+COUNTIF('CHAMPIONSHIP HIGH ROLLER 200K'!$D$8:$D$72,$C126)+COUNTIF('PLO-NLH DEALER´S CHOICE PIJAMA'!$D$8:$D$27,$C126)+COUNTIF('Main Event SPT - Dia Final'!$D$8:$D$221,$C126)+COUNTIF('SECOND CHANCE'!$D$8:$D$86,$C126)+COUNTIF('HIGH ROLLER 50K'!$D$8:$D$38,$C126)+COUNTIF('OMAHA DEALER´S CHOICE'!$D$8:$D$30,$C126)</f>
        <v>3</v>
      </c>
      <c r="F126" s="8">
        <f>SUMIFS('200K OMAHA 5 K.O'!$C$8:$C$37,'200K OMAHA 5 K.O'!$D$8:$D$37,$C126)</f>
        <v>0</v>
      </c>
      <c r="G126" s="8">
        <f>SUMIFS(HORSE!$C$8:$C$26,HORSE!$D$8:$D$26,$C126)</f>
        <v>10</v>
      </c>
      <c r="H126" s="8">
        <f>SUMIFS('SUPER K.O'!$C$8:$C$41,'SUPER K.O'!$D$8:$D$41,$C126)</f>
        <v>0</v>
      </c>
      <c r="I126" s="8">
        <f>SUMIFS('8 GAME'!$C$8:$C$21,'8 GAME'!$D$8:$D$21,$C126)</f>
        <v>0</v>
      </c>
      <c r="J126" s="8">
        <f>SUMIFS('100K OMAHA MYSTERY BOUNTY'!$C$8:$C$32,'100K OMAHA MYSTERY BOUNTY'!$D$8:$D$32,$C126)</f>
        <v>0</v>
      </c>
      <c r="K126" s="8">
        <f>SUMIFS('CHAMPIONSHIP HIGH ROLLER 200K'!$C$8:$C$72,'CHAMPIONSHIP HIGH ROLLER 200K'!$D$8:$D$72,$C126)</f>
        <v>0</v>
      </c>
      <c r="L126" s="8">
        <f>SUMIFS('PLO-NLH DEALER´S CHOICE PIJAMA'!$C$8:$C$27,'PLO-NLH DEALER´S CHOICE PIJAMA'!$D$8:$D$27,$C126)</f>
        <v>0</v>
      </c>
      <c r="M126" s="8">
        <f>SUMIFS('Main Event SPT - Dia Final'!$C$8:$C$221,'Main Event SPT - Dia Final'!$D$8:$D$221,$C126)</f>
        <v>10</v>
      </c>
      <c r="N126" s="8">
        <f>SUMIFS('SECOND CHANCE'!$C$8:$C$86,'SECOND CHANCE'!$D$8:$D$86,$C126)</f>
        <v>10</v>
      </c>
      <c r="O126" s="8">
        <f>SUMIFS('HIGH ROLLER 50K'!$C$8:$C$38,'HIGH ROLLER 50K'!$D$8:$D$38,$C126)</f>
        <v>0</v>
      </c>
      <c r="P126" s="8">
        <f>SUMIFS('OMAHA DEALER´S CHOICE'!$C$8:$C$30,'OMAHA DEALER´S CHOICE'!$D$8:$D$30,$C126)</f>
        <v>0</v>
      </c>
    </row>
    <row r="127" spans="1:16">
      <c r="A127" s="4">
        <f t="shared" si="2"/>
        <v>120</v>
      </c>
      <c r="B127" s="5" t="s">
        <v>43</v>
      </c>
      <c r="C127" s="6" t="s">
        <v>44</v>
      </c>
      <c r="D127" s="7">
        <f t="shared" si="3"/>
        <v>30</v>
      </c>
      <c r="E127" s="4">
        <f>COUNTIF('200K OMAHA 5 K.O'!$D$8:$D$37,$C127)+COUNTIF(HORSE!$D$8:$D$26,$C127)+COUNTIF('SUPER K.O'!$D$8:$D$41,$C127)+COUNTIF('8 GAME'!$D$8:$D$21,$C127)+COUNTIF('100K OMAHA MYSTERY BOUNTY'!$D$8:$D$32,$C127)+COUNTIF('CHAMPIONSHIP HIGH ROLLER 200K'!$D$8:$D$72,$C127)+COUNTIF('PLO-NLH DEALER´S CHOICE PIJAMA'!$D$8:$D$27,$C127)+COUNTIF('Main Event SPT - Dia Final'!$D$8:$D$221,$C127)+COUNTIF('SECOND CHANCE'!$D$8:$D$86,$C127)+COUNTIF('HIGH ROLLER 50K'!$D$8:$D$38,$C127)+COUNTIF('OMAHA DEALER´S CHOICE'!$D$8:$D$30,$C127)</f>
        <v>3</v>
      </c>
      <c r="F127" s="8">
        <f>SUMIFS('200K OMAHA 5 K.O'!$C$8:$C$37,'200K OMAHA 5 K.O'!$D$8:$D$37,$C127)</f>
        <v>10</v>
      </c>
      <c r="G127" s="8">
        <f>SUMIFS(HORSE!$C$8:$C$26,HORSE!$D$8:$D$26,$C127)</f>
        <v>0</v>
      </c>
      <c r="H127" s="8">
        <f>SUMIFS('SUPER K.O'!$C$8:$C$41,'SUPER K.O'!$D$8:$D$41,$C127)</f>
        <v>0</v>
      </c>
      <c r="I127" s="8">
        <f>SUMIFS('8 GAME'!$C$8:$C$21,'8 GAME'!$D$8:$D$21,$C127)</f>
        <v>0</v>
      </c>
      <c r="J127" s="8">
        <f>SUMIFS('100K OMAHA MYSTERY BOUNTY'!$C$8:$C$32,'100K OMAHA MYSTERY BOUNTY'!$D$8:$D$32,$C127)</f>
        <v>0</v>
      </c>
      <c r="K127" s="8">
        <f>SUMIFS('CHAMPIONSHIP HIGH ROLLER 200K'!$C$8:$C$72,'CHAMPIONSHIP HIGH ROLLER 200K'!$D$8:$D$72,$C127)</f>
        <v>10</v>
      </c>
      <c r="L127" s="8">
        <f>SUMIFS('PLO-NLH DEALER´S CHOICE PIJAMA'!$C$8:$C$27,'PLO-NLH DEALER´S CHOICE PIJAMA'!$D$8:$D$27,$C127)</f>
        <v>0</v>
      </c>
      <c r="M127" s="8">
        <f>SUMIFS('Main Event SPT - Dia Final'!$C$8:$C$221,'Main Event SPT - Dia Final'!$D$8:$D$221,$C127)</f>
        <v>10</v>
      </c>
      <c r="N127" s="8">
        <f>SUMIFS('SECOND CHANCE'!$C$8:$C$86,'SECOND CHANCE'!$D$8:$D$86,$C127)</f>
        <v>0</v>
      </c>
      <c r="O127" s="8">
        <f>SUMIFS('HIGH ROLLER 50K'!$C$8:$C$38,'HIGH ROLLER 50K'!$D$8:$D$38,$C127)</f>
        <v>0</v>
      </c>
      <c r="P127" s="8">
        <f>SUMIFS('OMAHA DEALER´S CHOICE'!$C$8:$C$30,'OMAHA DEALER´S CHOICE'!$D$8:$D$30,$C127)</f>
        <v>0</v>
      </c>
    </row>
    <row r="128" spans="1:16">
      <c r="A128" s="4">
        <f t="shared" si="2"/>
        <v>120</v>
      </c>
      <c r="B128" s="5" t="s">
        <v>69</v>
      </c>
      <c r="C128" s="6" t="s">
        <v>70</v>
      </c>
      <c r="D128" s="7">
        <f t="shared" si="3"/>
        <v>30</v>
      </c>
      <c r="E128" s="4">
        <f>COUNTIF('200K OMAHA 5 K.O'!$D$8:$D$37,$C128)+COUNTIF(HORSE!$D$8:$D$26,$C128)+COUNTIF('SUPER K.O'!$D$8:$D$41,$C128)+COUNTIF('8 GAME'!$D$8:$D$21,$C128)+COUNTIF('100K OMAHA MYSTERY BOUNTY'!$D$8:$D$32,$C128)+COUNTIF('CHAMPIONSHIP HIGH ROLLER 200K'!$D$8:$D$72,$C128)+COUNTIF('PLO-NLH DEALER´S CHOICE PIJAMA'!$D$8:$D$27,$C128)+COUNTIF('Main Event SPT - Dia Final'!$D$8:$D$221,$C128)+COUNTIF('SECOND CHANCE'!$D$8:$D$86,$C128)+COUNTIF('HIGH ROLLER 50K'!$D$8:$D$38,$C128)+COUNTIF('OMAHA DEALER´S CHOICE'!$D$8:$D$30,$C128)</f>
        <v>3</v>
      </c>
      <c r="F128" s="8">
        <f>SUMIFS('200K OMAHA 5 K.O'!$C$8:$C$37,'200K OMAHA 5 K.O'!$D$8:$D$37,$C128)</f>
        <v>10</v>
      </c>
      <c r="G128" s="8">
        <f>SUMIFS(HORSE!$C$8:$C$26,HORSE!$D$8:$D$26,$C128)</f>
        <v>0</v>
      </c>
      <c r="H128" s="8">
        <f>SUMIFS('SUPER K.O'!$C$8:$C$41,'SUPER K.O'!$D$8:$D$41,$C128)</f>
        <v>10</v>
      </c>
      <c r="I128" s="8">
        <f>SUMIFS('8 GAME'!$C$8:$C$21,'8 GAME'!$D$8:$D$21,$C128)</f>
        <v>0</v>
      </c>
      <c r="J128" s="8">
        <f>SUMIFS('100K OMAHA MYSTERY BOUNTY'!$C$8:$C$32,'100K OMAHA MYSTERY BOUNTY'!$D$8:$D$32,$C128)</f>
        <v>0</v>
      </c>
      <c r="K128" s="8">
        <f>SUMIFS('CHAMPIONSHIP HIGH ROLLER 200K'!$C$8:$C$72,'CHAMPIONSHIP HIGH ROLLER 200K'!$D$8:$D$72,$C128)</f>
        <v>0</v>
      </c>
      <c r="L128" s="8">
        <f>SUMIFS('PLO-NLH DEALER´S CHOICE PIJAMA'!$C$8:$C$27,'PLO-NLH DEALER´S CHOICE PIJAMA'!$D$8:$D$27,$C128)</f>
        <v>0</v>
      </c>
      <c r="M128" s="8">
        <f>SUMIFS('Main Event SPT - Dia Final'!$C$8:$C$221,'Main Event SPT - Dia Final'!$D$8:$D$221,$C128)</f>
        <v>10</v>
      </c>
      <c r="N128" s="8">
        <f>SUMIFS('SECOND CHANCE'!$C$8:$C$86,'SECOND CHANCE'!$D$8:$D$86,$C128)</f>
        <v>0</v>
      </c>
      <c r="O128" s="8">
        <f>SUMIFS('HIGH ROLLER 50K'!$C$8:$C$38,'HIGH ROLLER 50K'!$D$8:$D$38,$C128)</f>
        <v>0</v>
      </c>
      <c r="P128" s="8">
        <f>SUMIFS('OMAHA DEALER´S CHOICE'!$C$8:$C$30,'OMAHA DEALER´S CHOICE'!$D$8:$D$30,$C128)</f>
        <v>0</v>
      </c>
    </row>
    <row r="129" spans="1:16">
      <c r="A129" s="4">
        <f t="shared" si="2"/>
        <v>120</v>
      </c>
      <c r="B129" s="5" t="s">
        <v>73</v>
      </c>
      <c r="C129" s="6" t="s">
        <v>74</v>
      </c>
      <c r="D129" s="7">
        <f t="shared" si="3"/>
        <v>30</v>
      </c>
      <c r="E129" s="4">
        <f>COUNTIF('200K OMAHA 5 K.O'!$D$8:$D$37,$C129)+COUNTIF(HORSE!$D$8:$D$26,$C129)+COUNTIF('SUPER K.O'!$D$8:$D$41,$C129)+COUNTIF('8 GAME'!$D$8:$D$21,$C129)+COUNTIF('100K OMAHA MYSTERY BOUNTY'!$D$8:$D$32,$C129)+COUNTIF('CHAMPIONSHIP HIGH ROLLER 200K'!$D$8:$D$72,$C129)+COUNTIF('PLO-NLH DEALER´S CHOICE PIJAMA'!$D$8:$D$27,$C129)+COUNTIF('Main Event SPT - Dia Final'!$D$8:$D$221,$C129)+COUNTIF('SECOND CHANCE'!$D$8:$D$86,$C129)+COUNTIF('HIGH ROLLER 50K'!$D$8:$D$38,$C129)+COUNTIF('OMAHA DEALER´S CHOICE'!$D$8:$D$30,$C129)</f>
        <v>3</v>
      </c>
      <c r="F129" s="8">
        <f>SUMIFS('200K OMAHA 5 K.O'!$C$8:$C$37,'200K OMAHA 5 K.O'!$D$8:$D$37,$C129)</f>
        <v>10</v>
      </c>
      <c r="G129" s="8">
        <f>SUMIFS(HORSE!$C$8:$C$26,HORSE!$D$8:$D$26,$C129)</f>
        <v>0</v>
      </c>
      <c r="H129" s="8">
        <f>SUMIFS('SUPER K.O'!$C$8:$C$41,'SUPER K.O'!$D$8:$D$41,$C129)</f>
        <v>0</v>
      </c>
      <c r="I129" s="8">
        <f>SUMIFS('8 GAME'!$C$8:$C$21,'8 GAME'!$D$8:$D$21,$C129)</f>
        <v>0</v>
      </c>
      <c r="J129" s="8">
        <f>SUMIFS('100K OMAHA MYSTERY BOUNTY'!$C$8:$C$32,'100K OMAHA MYSTERY BOUNTY'!$D$8:$D$32,$C129)</f>
        <v>0</v>
      </c>
      <c r="K129" s="8">
        <f>SUMIFS('CHAMPIONSHIP HIGH ROLLER 200K'!$C$8:$C$72,'CHAMPIONSHIP HIGH ROLLER 200K'!$D$8:$D$72,$C129)</f>
        <v>0</v>
      </c>
      <c r="L129" s="8">
        <f>SUMIFS('PLO-NLH DEALER´S CHOICE PIJAMA'!$C$8:$C$27,'PLO-NLH DEALER´S CHOICE PIJAMA'!$D$8:$D$27,$C129)</f>
        <v>0</v>
      </c>
      <c r="M129" s="8">
        <f>SUMIFS('Main Event SPT - Dia Final'!$C$8:$C$221,'Main Event SPT - Dia Final'!$D$8:$D$221,$C129)</f>
        <v>10</v>
      </c>
      <c r="N129" s="8">
        <f>SUMIFS('SECOND CHANCE'!$C$8:$C$86,'SECOND CHANCE'!$D$8:$D$86,$C129)</f>
        <v>10</v>
      </c>
      <c r="O129" s="8">
        <f>SUMIFS('HIGH ROLLER 50K'!$C$8:$C$38,'HIGH ROLLER 50K'!$D$8:$D$38,$C129)</f>
        <v>0</v>
      </c>
      <c r="P129" s="8">
        <f>SUMIFS('OMAHA DEALER´S CHOICE'!$C$8:$C$30,'OMAHA DEALER´S CHOICE'!$D$8:$D$30,$C129)</f>
        <v>0</v>
      </c>
    </row>
    <row r="130" spans="1:16">
      <c r="A130" s="4">
        <f t="shared" si="2"/>
        <v>120</v>
      </c>
      <c r="B130" s="5" t="s">
        <v>156</v>
      </c>
      <c r="C130" s="6" t="s">
        <v>157</v>
      </c>
      <c r="D130" s="7">
        <f t="shared" si="3"/>
        <v>30</v>
      </c>
      <c r="E130" s="4">
        <f>COUNTIF('200K OMAHA 5 K.O'!$D$8:$D$37,$C130)+COUNTIF(HORSE!$D$8:$D$26,$C130)+COUNTIF('SUPER K.O'!$D$8:$D$41,$C130)+COUNTIF('8 GAME'!$D$8:$D$21,$C130)+COUNTIF('100K OMAHA MYSTERY BOUNTY'!$D$8:$D$32,$C130)+COUNTIF('CHAMPIONSHIP HIGH ROLLER 200K'!$D$8:$D$72,$C130)+COUNTIF('PLO-NLH DEALER´S CHOICE PIJAMA'!$D$8:$D$27,$C130)+COUNTIF('Main Event SPT - Dia Final'!$D$8:$D$221,$C130)+COUNTIF('SECOND CHANCE'!$D$8:$D$86,$C130)+COUNTIF('HIGH ROLLER 50K'!$D$8:$D$38,$C130)+COUNTIF('OMAHA DEALER´S CHOICE'!$D$8:$D$30,$C130)</f>
        <v>3</v>
      </c>
      <c r="F130" s="8">
        <f>SUMIFS('200K OMAHA 5 K.O'!$C$8:$C$37,'200K OMAHA 5 K.O'!$D$8:$D$37,$C130)</f>
        <v>0</v>
      </c>
      <c r="G130" s="8">
        <f>SUMIFS(HORSE!$C$8:$C$26,HORSE!$D$8:$D$26,$C130)</f>
        <v>0</v>
      </c>
      <c r="H130" s="8">
        <f>SUMIFS('SUPER K.O'!$C$8:$C$41,'SUPER K.O'!$D$8:$D$41,$C130)</f>
        <v>10</v>
      </c>
      <c r="I130" s="8">
        <f>SUMIFS('8 GAME'!$C$8:$C$21,'8 GAME'!$D$8:$D$21,$C130)</f>
        <v>0</v>
      </c>
      <c r="J130" s="8">
        <f>SUMIFS('100K OMAHA MYSTERY BOUNTY'!$C$8:$C$32,'100K OMAHA MYSTERY BOUNTY'!$D$8:$D$32,$C130)</f>
        <v>0</v>
      </c>
      <c r="K130" s="8">
        <f>SUMIFS('CHAMPIONSHIP HIGH ROLLER 200K'!$C$8:$C$72,'CHAMPIONSHIP HIGH ROLLER 200K'!$D$8:$D$72,$C130)</f>
        <v>0</v>
      </c>
      <c r="L130" s="8">
        <f>SUMIFS('PLO-NLH DEALER´S CHOICE PIJAMA'!$C$8:$C$27,'PLO-NLH DEALER´S CHOICE PIJAMA'!$D$8:$D$27,$C130)</f>
        <v>0</v>
      </c>
      <c r="M130" s="8">
        <f>SUMIFS('Main Event SPT - Dia Final'!$C$8:$C$221,'Main Event SPT - Dia Final'!$D$8:$D$221,$C130)</f>
        <v>10</v>
      </c>
      <c r="N130" s="8">
        <f>SUMIFS('SECOND CHANCE'!$C$8:$C$86,'SECOND CHANCE'!$D$8:$D$86,$C130)</f>
        <v>10</v>
      </c>
      <c r="O130" s="8">
        <f>SUMIFS('HIGH ROLLER 50K'!$C$8:$C$38,'HIGH ROLLER 50K'!$D$8:$D$38,$C130)</f>
        <v>0</v>
      </c>
      <c r="P130" s="8">
        <f>SUMIFS('OMAHA DEALER´S CHOICE'!$C$8:$C$30,'OMAHA DEALER´S CHOICE'!$D$8:$D$30,$C130)</f>
        <v>0</v>
      </c>
    </row>
    <row r="131" spans="1:16">
      <c r="A131" s="4">
        <f t="shared" si="2"/>
        <v>120</v>
      </c>
      <c r="B131" s="5" t="s">
        <v>136</v>
      </c>
      <c r="C131" s="6" t="s">
        <v>137</v>
      </c>
      <c r="D131" s="7">
        <f t="shared" si="3"/>
        <v>30</v>
      </c>
      <c r="E131" s="4">
        <f>COUNTIF('200K OMAHA 5 K.O'!$D$8:$D$37,$C131)+COUNTIF(HORSE!$D$8:$D$26,$C131)+COUNTIF('SUPER K.O'!$D$8:$D$41,$C131)+COUNTIF('8 GAME'!$D$8:$D$21,$C131)+COUNTIF('100K OMAHA MYSTERY BOUNTY'!$D$8:$D$32,$C131)+COUNTIF('CHAMPIONSHIP HIGH ROLLER 200K'!$D$8:$D$72,$C131)+COUNTIF('PLO-NLH DEALER´S CHOICE PIJAMA'!$D$8:$D$27,$C131)+COUNTIF('Main Event SPT - Dia Final'!$D$8:$D$221,$C131)+COUNTIF('SECOND CHANCE'!$D$8:$D$86,$C131)+COUNTIF('HIGH ROLLER 50K'!$D$8:$D$38,$C131)+COUNTIF('OMAHA DEALER´S CHOICE'!$D$8:$D$30,$C131)</f>
        <v>3</v>
      </c>
      <c r="F131" s="8">
        <f>SUMIFS('200K OMAHA 5 K.O'!$C$8:$C$37,'200K OMAHA 5 K.O'!$D$8:$D$37,$C131)</f>
        <v>0</v>
      </c>
      <c r="G131" s="8">
        <f>SUMIFS(HORSE!$C$8:$C$26,HORSE!$D$8:$D$26,$C131)</f>
        <v>0</v>
      </c>
      <c r="H131" s="8">
        <f>SUMIFS('SUPER K.O'!$C$8:$C$41,'SUPER K.O'!$D$8:$D$41,$C131)</f>
        <v>10</v>
      </c>
      <c r="I131" s="8">
        <f>SUMIFS('8 GAME'!$C$8:$C$21,'8 GAME'!$D$8:$D$21,$C131)</f>
        <v>0</v>
      </c>
      <c r="J131" s="8">
        <f>SUMIFS('100K OMAHA MYSTERY BOUNTY'!$C$8:$C$32,'100K OMAHA MYSTERY BOUNTY'!$D$8:$D$32,$C131)</f>
        <v>0</v>
      </c>
      <c r="K131" s="8">
        <f>SUMIFS('CHAMPIONSHIP HIGH ROLLER 200K'!$C$8:$C$72,'CHAMPIONSHIP HIGH ROLLER 200K'!$D$8:$D$72,$C131)</f>
        <v>0</v>
      </c>
      <c r="L131" s="8">
        <f>SUMIFS('PLO-NLH DEALER´S CHOICE PIJAMA'!$C$8:$C$27,'PLO-NLH DEALER´S CHOICE PIJAMA'!$D$8:$D$27,$C131)</f>
        <v>0</v>
      </c>
      <c r="M131" s="8">
        <f>SUMIFS('Main Event SPT - Dia Final'!$C$8:$C$221,'Main Event SPT - Dia Final'!$D$8:$D$221,$C131)</f>
        <v>10</v>
      </c>
      <c r="N131" s="8">
        <f>SUMIFS('SECOND CHANCE'!$C$8:$C$86,'SECOND CHANCE'!$D$8:$D$86,$C131)</f>
        <v>10</v>
      </c>
      <c r="O131" s="8">
        <f>SUMIFS('HIGH ROLLER 50K'!$C$8:$C$38,'HIGH ROLLER 50K'!$D$8:$D$38,$C131)</f>
        <v>0</v>
      </c>
      <c r="P131" s="8">
        <f>SUMIFS('OMAHA DEALER´S CHOICE'!$C$8:$C$30,'OMAHA DEALER´S CHOICE'!$D$8:$D$30,$C131)</f>
        <v>0</v>
      </c>
    </row>
    <row r="132" spans="1:16">
      <c r="A132" s="4">
        <f t="shared" si="2"/>
        <v>120</v>
      </c>
      <c r="B132" s="5" t="s">
        <v>152</v>
      </c>
      <c r="C132" s="6" t="s">
        <v>153</v>
      </c>
      <c r="D132" s="7">
        <f t="shared" si="3"/>
        <v>30</v>
      </c>
      <c r="E132" s="4">
        <f>COUNTIF('200K OMAHA 5 K.O'!$D$8:$D$37,$C132)+COUNTIF(HORSE!$D$8:$D$26,$C132)+COUNTIF('SUPER K.O'!$D$8:$D$41,$C132)+COUNTIF('8 GAME'!$D$8:$D$21,$C132)+COUNTIF('100K OMAHA MYSTERY BOUNTY'!$D$8:$D$32,$C132)+COUNTIF('CHAMPIONSHIP HIGH ROLLER 200K'!$D$8:$D$72,$C132)+COUNTIF('PLO-NLH DEALER´S CHOICE PIJAMA'!$D$8:$D$27,$C132)+COUNTIF('Main Event SPT - Dia Final'!$D$8:$D$221,$C132)+COUNTIF('SECOND CHANCE'!$D$8:$D$86,$C132)+COUNTIF('HIGH ROLLER 50K'!$D$8:$D$38,$C132)+COUNTIF('OMAHA DEALER´S CHOICE'!$D$8:$D$30,$C132)</f>
        <v>3</v>
      </c>
      <c r="F132" s="8">
        <f>SUMIFS('200K OMAHA 5 K.O'!$C$8:$C$37,'200K OMAHA 5 K.O'!$D$8:$D$37,$C132)</f>
        <v>0</v>
      </c>
      <c r="G132" s="8">
        <f>SUMIFS(HORSE!$C$8:$C$26,HORSE!$D$8:$D$26,$C132)</f>
        <v>0</v>
      </c>
      <c r="H132" s="8">
        <f>SUMIFS('SUPER K.O'!$C$8:$C$41,'SUPER K.O'!$D$8:$D$41,$C132)</f>
        <v>10</v>
      </c>
      <c r="I132" s="8">
        <f>SUMIFS('8 GAME'!$C$8:$C$21,'8 GAME'!$D$8:$D$21,$C132)</f>
        <v>0</v>
      </c>
      <c r="J132" s="8">
        <f>SUMIFS('100K OMAHA MYSTERY BOUNTY'!$C$8:$C$32,'100K OMAHA MYSTERY BOUNTY'!$D$8:$D$32,$C132)</f>
        <v>0</v>
      </c>
      <c r="K132" s="8">
        <f>SUMIFS('CHAMPIONSHIP HIGH ROLLER 200K'!$C$8:$C$72,'CHAMPIONSHIP HIGH ROLLER 200K'!$D$8:$D$72,$C132)</f>
        <v>0</v>
      </c>
      <c r="L132" s="8">
        <f>SUMIFS('PLO-NLH DEALER´S CHOICE PIJAMA'!$C$8:$C$27,'PLO-NLH DEALER´S CHOICE PIJAMA'!$D$8:$D$27,$C132)</f>
        <v>0</v>
      </c>
      <c r="M132" s="8">
        <f>SUMIFS('Main Event SPT - Dia Final'!$C$8:$C$221,'Main Event SPT - Dia Final'!$D$8:$D$221,$C132)</f>
        <v>10</v>
      </c>
      <c r="N132" s="8">
        <f>SUMIFS('SECOND CHANCE'!$C$8:$C$86,'SECOND CHANCE'!$D$8:$D$86,$C132)</f>
        <v>10</v>
      </c>
      <c r="O132" s="8">
        <f>SUMIFS('HIGH ROLLER 50K'!$C$8:$C$38,'HIGH ROLLER 50K'!$D$8:$D$38,$C132)</f>
        <v>0</v>
      </c>
      <c r="P132" s="8">
        <f>SUMIFS('OMAHA DEALER´S CHOICE'!$C$8:$C$30,'OMAHA DEALER´S CHOICE'!$D$8:$D$30,$C132)</f>
        <v>0</v>
      </c>
    </row>
    <row r="133" spans="1:16">
      <c r="A133" s="4">
        <f t="shared" ref="A133:A196" si="4">RANK(D133,$D$5:$D$245)</f>
        <v>120</v>
      </c>
      <c r="B133" s="5" t="s">
        <v>124</v>
      </c>
      <c r="C133" s="6" t="s">
        <v>125</v>
      </c>
      <c r="D133" s="7">
        <f t="shared" ref="D133:D196" si="5">SUM(F133:P133)</f>
        <v>30</v>
      </c>
      <c r="E133" s="4">
        <f>COUNTIF('200K OMAHA 5 K.O'!$D$8:$D$37,$C133)+COUNTIF(HORSE!$D$8:$D$26,$C133)+COUNTIF('SUPER K.O'!$D$8:$D$41,$C133)+COUNTIF('8 GAME'!$D$8:$D$21,$C133)+COUNTIF('100K OMAHA MYSTERY BOUNTY'!$D$8:$D$32,$C133)+COUNTIF('CHAMPIONSHIP HIGH ROLLER 200K'!$D$8:$D$72,$C133)+COUNTIF('PLO-NLH DEALER´S CHOICE PIJAMA'!$D$8:$D$27,$C133)+COUNTIF('Main Event SPT - Dia Final'!$D$8:$D$221,$C133)+COUNTIF('SECOND CHANCE'!$D$8:$D$86,$C133)+COUNTIF('HIGH ROLLER 50K'!$D$8:$D$38,$C133)+COUNTIF('OMAHA DEALER´S CHOICE'!$D$8:$D$30,$C133)</f>
        <v>3</v>
      </c>
      <c r="F133" s="8">
        <f>SUMIFS('200K OMAHA 5 K.O'!$C$8:$C$37,'200K OMAHA 5 K.O'!$D$8:$D$37,$C133)</f>
        <v>0</v>
      </c>
      <c r="G133" s="8">
        <f>SUMIFS(HORSE!$C$8:$C$26,HORSE!$D$8:$D$26,$C133)</f>
        <v>0</v>
      </c>
      <c r="H133" s="8">
        <f>SUMIFS('SUPER K.O'!$C$8:$C$41,'SUPER K.O'!$D$8:$D$41,$C133)</f>
        <v>10</v>
      </c>
      <c r="I133" s="8">
        <f>SUMIFS('8 GAME'!$C$8:$C$21,'8 GAME'!$D$8:$D$21,$C133)</f>
        <v>0</v>
      </c>
      <c r="J133" s="8">
        <f>SUMIFS('100K OMAHA MYSTERY BOUNTY'!$C$8:$C$32,'100K OMAHA MYSTERY BOUNTY'!$D$8:$D$32,$C133)</f>
        <v>0</v>
      </c>
      <c r="K133" s="8">
        <f>SUMIFS('CHAMPIONSHIP HIGH ROLLER 200K'!$C$8:$C$72,'CHAMPIONSHIP HIGH ROLLER 200K'!$D$8:$D$72,$C133)</f>
        <v>0</v>
      </c>
      <c r="L133" s="8">
        <f>SUMIFS('PLO-NLH DEALER´S CHOICE PIJAMA'!$C$8:$C$27,'PLO-NLH DEALER´S CHOICE PIJAMA'!$D$8:$D$27,$C133)</f>
        <v>0</v>
      </c>
      <c r="M133" s="8">
        <f>SUMIFS('Main Event SPT - Dia Final'!$C$8:$C$221,'Main Event SPT - Dia Final'!$D$8:$D$221,$C133)</f>
        <v>10</v>
      </c>
      <c r="N133" s="8">
        <f>SUMIFS('SECOND CHANCE'!$C$8:$C$86,'SECOND CHANCE'!$D$8:$D$86,$C133)</f>
        <v>10</v>
      </c>
      <c r="O133" s="8">
        <f>SUMIFS('HIGH ROLLER 50K'!$C$8:$C$38,'HIGH ROLLER 50K'!$D$8:$D$38,$C133)</f>
        <v>0</v>
      </c>
      <c r="P133" s="8">
        <f>SUMIFS('OMAHA DEALER´S CHOICE'!$C$8:$C$30,'OMAHA DEALER´S CHOICE'!$D$8:$D$30,$C133)</f>
        <v>0</v>
      </c>
    </row>
    <row r="134" spans="1:16">
      <c r="A134" s="4">
        <f t="shared" si="4"/>
        <v>120</v>
      </c>
      <c r="B134" s="5" t="s">
        <v>120</v>
      </c>
      <c r="C134" s="6" t="s">
        <v>121</v>
      </c>
      <c r="D134" s="7">
        <f t="shared" si="5"/>
        <v>30</v>
      </c>
      <c r="E134" s="4">
        <f>COUNTIF('200K OMAHA 5 K.O'!$D$8:$D$37,$C134)+COUNTIF(HORSE!$D$8:$D$26,$C134)+COUNTIF('SUPER K.O'!$D$8:$D$41,$C134)+COUNTIF('8 GAME'!$D$8:$D$21,$C134)+COUNTIF('100K OMAHA MYSTERY BOUNTY'!$D$8:$D$32,$C134)+COUNTIF('CHAMPIONSHIP HIGH ROLLER 200K'!$D$8:$D$72,$C134)+COUNTIF('PLO-NLH DEALER´S CHOICE PIJAMA'!$D$8:$D$27,$C134)+COUNTIF('Main Event SPT - Dia Final'!$D$8:$D$221,$C134)+COUNTIF('SECOND CHANCE'!$D$8:$D$86,$C134)+COUNTIF('HIGH ROLLER 50K'!$D$8:$D$38,$C134)+COUNTIF('OMAHA DEALER´S CHOICE'!$D$8:$D$30,$C134)</f>
        <v>3</v>
      </c>
      <c r="F134" s="8">
        <f>SUMIFS('200K OMAHA 5 K.O'!$C$8:$C$37,'200K OMAHA 5 K.O'!$D$8:$D$37,$C134)</f>
        <v>0</v>
      </c>
      <c r="G134" s="8">
        <f>SUMIFS(HORSE!$C$8:$C$26,HORSE!$D$8:$D$26,$C134)</f>
        <v>0</v>
      </c>
      <c r="H134" s="8">
        <f>SUMIFS('SUPER K.O'!$C$8:$C$41,'SUPER K.O'!$D$8:$D$41,$C134)</f>
        <v>10</v>
      </c>
      <c r="I134" s="8">
        <f>SUMIFS('8 GAME'!$C$8:$C$21,'8 GAME'!$D$8:$D$21,$C134)</f>
        <v>0</v>
      </c>
      <c r="J134" s="8">
        <f>SUMIFS('100K OMAHA MYSTERY BOUNTY'!$C$8:$C$32,'100K OMAHA MYSTERY BOUNTY'!$D$8:$D$32,$C134)</f>
        <v>0</v>
      </c>
      <c r="K134" s="8">
        <f>SUMIFS('CHAMPIONSHIP HIGH ROLLER 200K'!$C$8:$C$72,'CHAMPIONSHIP HIGH ROLLER 200K'!$D$8:$D$72,$C134)</f>
        <v>0</v>
      </c>
      <c r="L134" s="8">
        <f>SUMIFS('PLO-NLH DEALER´S CHOICE PIJAMA'!$C$8:$C$27,'PLO-NLH DEALER´S CHOICE PIJAMA'!$D$8:$D$27,$C134)</f>
        <v>0</v>
      </c>
      <c r="M134" s="8">
        <f>SUMIFS('Main Event SPT - Dia Final'!$C$8:$C$221,'Main Event SPT - Dia Final'!$D$8:$D$221,$C134)</f>
        <v>10</v>
      </c>
      <c r="N134" s="8">
        <f>SUMIFS('SECOND CHANCE'!$C$8:$C$86,'SECOND CHANCE'!$D$8:$D$86,$C134)</f>
        <v>10</v>
      </c>
      <c r="O134" s="8">
        <f>SUMIFS('HIGH ROLLER 50K'!$C$8:$C$38,'HIGH ROLLER 50K'!$D$8:$D$38,$C134)</f>
        <v>0</v>
      </c>
      <c r="P134" s="8">
        <f>SUMIFS('OMAHA DEALER´S CHOICE'!$C$8:$C$30,'OMAHA DEALER´S CHOICE'!$D$8:$D$30,$C134)</f>
        <v>0</v>
      </c>
    </row>
    <row r="135" spans="1:16">
      <c r="A135" s="4">
        <f t="shared" si="4"/>
        <v>120</v>
      </c>
      <c r="B135" s="5" t="s">
        <v>174</v>
      </c>
      <c r="C135" s="6" t="s">
        <v>175</v>
      </c>
      <c r="D135" s="7">
        <f t="shared" si="5"/>
        <v>30</v>
      </c>
      <c r="E135" s="4">
        <f>COUNTIF('200K OMAHA 5 K.O'!$D$8:$D$37,$C135)+COUNTIF(HORSE!$D$8:$D$26,$C135)+COUNTIF('SUPER K.O'!$D$8:$D$41,$C135)+COUNTIF('8 GAME'!$D$8:$D$21,$C135)+COUNTIF('100K OMAHA MYSTERY BOUNTY'!$D$8:$D$32,$C135)+COUNTIF('CHAMPIONSHIP HIGH ROLLER 200K'!$D$8:$D$72,$C135)+COUNTIF('PLO-NLH DEALER´S CHOICE PIJAMA'!$D$8:$D$27,$C135)+COUNTIF('Main Event SPT - Dia Final'!$D$8:$D$221,$C135)+COUNTIF('SECOND CHANCE'!$D$8:$D$86,$C135)+COUNTIF('HIGH ROLLER 50K'!$D$8:$D$38,$C135)+COUNTIF('OMAHA DEALER´S CHOICE'!$D$8:$D$30,$C135)</f>
        <v>3</v>
      </c>
      <c r="F135" s="8">
        <f>SUMIFS('200K OMAHA 5 K.O'!$C$8:$C$37,'200K OMAHA 5 K.O'!$D$8:$D$37,$C135)</f>
        <v>0</v>
      </c>
      <c r="G135" s="8">
        <f>SUMIFS(HORSE!$C$8:$C$26,HORSE!$D$8:$D$26,$C135)</f>
        <v>0</v>
      </c>
      <c r="H135" s="8">
        <f>SUMIFS('SUPER K.O'!$C$8:$C$41,'SUPER K.O'!$D$8:$D$41,$C135)</f>
        <v>0</v>
      </c>
      <c r="I135" s="8">
        <f>SUMIFS('8 GAME'!$C$8:$C$21,'8 GAME'!$D$8:$D$21,$C135)</f>
        <v>0</v>
      </c>
      <c r="J135" s="8">
        <f>SUMIFS('100K OMAHA MYSTERY BOUNTY'!$C$8:$C$32,'100K OMAHA MYSTERY BOUNTY'!$D$8:$D$32,$C135)</f>
        <v>10</v>
      </c>
      <c r="K135" s="8">
        <f>SUMIFS('CHAMPIONSHIP HIGH ROLLER 200K'!$C$8:$C$72,'CHAMPIONSHIP HIGH ROLLER 200K'!$D$8:$D$72,$C135)</f>
        <v>10</v>
      </c>
      <c r="L135" s="8">
        <f>SUMIFS('PLO-NLH DEALER´S CHOICE PIJAMA'!$C$8:$C$27,'PLO-NLH DEALER´S CHOICE PIJAMA'!$D$8:$D$27,$C135)</f>
        <v>0</v>
      </c>
      <c r="M135" s="8">
        <f>SUMIFS('Main Event SPT - Dia Final'!$C$8:$C$221,'Main Event SPT - Dia Final'!$D$8:$D$221,$C135)</f>
        <v>10</v>
      </c>
      <c r="N135" s="8">
        <f>SUMIFS('SECOND CHANCE'!$C$8:$C$86,'SECOND CHANCE'!$D$8:$D$86,$C135)</f>
        <v>0</v>
      </c>
      <c r="O135" s="8">
        <f>SUMIFS('HIGH ROLLER 50K'!$C$8:$C$38,'HIGH ROLLER 50K'!$D$8:$D$38,$C135)</f>
        <v>0</v>
      </c>
      <c r="P135" s="8">
        <f>SUMIFS('OMAHA DEALER´S CHOICE'!$C$8:$C$30,'OMAHA DEALER´S CHOICE'!$D$8:$D$30,$C135)</f>
        <v>0</v>
      </c>
    </row>
    <row r="136" spans="1:16">
      <c r="A136" s="4">
        <f t="shared" si="4"/>
        <v>120</v>
      </c>
      <c r="B136" s="5" t="s">
        <v>176</v>
      </c>
      <c r="C136" s="6" t="s">
        <v>177</v>
      </c>
      <c r="D136" s="7">
        <f t="shared" si="5"/>
        <v>30</v>
      </c>
      <c r="E136" s="4">
        <f>COUNTIF('200K OMAHA 5 K.O'!$D$8:$D$37,$C136)+COUNTIF(HORSE!$D$8:$D$26,$C136)+COUNTIF('SUPER K.O'!$D$8:$D$41,$C136)+COUNTIF('8 GAME'!$D$8:$D$21,$C136)+COUNTIF('100K OMAHA MYSTERY BOUNTY'!$D$8:$D$32,$C136)+COUNTIF('CHAMPIONSHIP HIGH ROLLER 200K'!$D$8:$D$72,$C136)+COUNTIF('PLO-NLH DEALER´S CHOICE PIJAMA'!$D$8:$D$27,$C136)+COUNTIF('Main Event SPT - Dia Final'!$D$8:$D$221,$C136)+COUNTIF('SECOND CHANCE'!$D$8:$D$86,$C136)+COUNTIF('HIGH ROLLER 50K'!$D$8:$D$38,$C136)+COUNTIF('OMAHA DEALER´S CHOICE'!$D$8:$D$30,$C136)</f>
        <v>3</v>
      </c>
      <c r="F136" s="8">
        <f>SUMIFS('200K OMAHA 5 K.O'!$C$8:$C$37,'200K OMAHA 5 K.O'!$D$8:$D$37,$C136)</f>
        <v>0</v>
      </c>
      <c r="G136" s="8">
        <f>SUMIFS(HORSE!$C$8:$C$26,HORSE!$D$8:$D$26,$C136)</f>
        <v>0</v>
      </c>
      <c r="H136" s="8">
        <f>SUMIFS('SUPER K.O'!$C$8:$C$41,'SUPER K.O'!$D$8:$D$41,$C136)</f>
        <v>0</v>
      </c>
      <c r="I136" s="8">
        <f>SUMIFS('8 GAME'!$C$8:$C$21,'8 GAME'!$D$8:$D$21,$C136)</f>
        <v>0</v>
      </c>
      <c r="J136" s="8">
        <f>SUMIFS('100K OMAHA MYSTERY BOUNTY'!$C$8:$C$32,'100K OMAHA MYSTERY BOUNTY'!$D$8:$D$32,$C136)</f>
        <v>10</v>
      </c>
      <c r="K136" s="8">
        <f>SUMIFS('CHAMPIONSHIP HIGH ROLLER 200K'!$C$8:$C$72,'CHAMPIONSHIP HIGH ROLLER 200K'!$D$8:$D$72,$C136)</f>
        <v>0</v>
      </c>
      <c r="L136" s="8">
        <f>SUMIFS('PLO-NLH DEALER´S CHOICE PIJAMA'!$C$8:$C$27,'PLO-NLH DEALER´S CHOICE PIJAMA'!$D$8:$D$27,$C136)</f>
        <v>10</v>
      </c>
      <c r="M136" s="8">
        <f>SUMIFS('Main Event SPT - Dia Final'!$C$8:$C$221,'Main Event SPT - Dia Final'!$D$8:$D$221,$C136)</f>
        <v>10</v>
      </c>
      <c r="N136" s="8">
        <f>SUMIFS('SECOND CHANCE'!$C$8:$C$86,'SECOND CHANCE'!$D$8:$D$86,$C136)</f>
        <v>0</v>
      </c>
      <c r="O136" s="8">
        <f>SUMIFS('HIGH ROLLER 50K'!$C$8:$C$38,'HIGH ROLLER 50K'!$D$8:$D$38,$C136)</f>
        <v>0</v>
      </c>
      <c r="P136" s="8">
        <f>SUMIFS('OMAHA DEALER´S CHOICE'!$C$8:$C$30,'OMAHA DEALER´S CHOICE'!$D$8:$D$30,$C136)</f>
        <v>0</v>
      </c>
    </row>
    <row r="137" spans="1:16">
      <c r="A137" s="4">
        <f t="shared" si="4"/>
        <v>120</v>
      </c>
      <c r="B137" s="5" t="s">
        <v>260</v>
      </c>
      <c r="C137" s="6" t="s">
        <v>261</v>
      </c>
      <c r="D137" s="7">
        <f t="shared" si="5"/>
        <v>30</v>
      </c>
      <c r="E137" s="4">
        <f>COUNTIF('200K OMAHA 5 K.O'!$D$8:$D$37,$C137)+COUNTIF(HORSE!$D$8:$D$26,$C137)+COUNTIF('SUPER K.O'!$D$8:$D$41,$C137)+COUNTIF('8 GAME'!$D$8:$D$21,$C137)+COUNTIF('100K OMAHA MYSTERY BOUNTY'!$D$8:$D$32,$C137)+COUNTIF('CHAMPIONSHIP HIGH ROLLER 200K'!$D$8:$D$72,$C137)+COUNTIF('PLO-NLH DEALER´S CHOICE PIJAMA'!$D$8:$D$27,$C137)+COUNTIF('Main Event SPT - Dia Final'!$D$8:$D$221,$C137)+COUNTIF('SECOND CHANCE'!$D$8:$D$86,$C137)+COUNTIF('HIGH ROLLER 50K'!$D$8:$D$38,$C137)+COUNTIF('OMAHA DEALER´S CHOICE'!$D$8:$D$30,$C137)</f>
        <v>3</v>
      </c>
      <c r="F137" s="8">
        <f>SUMIFS('200K OMAHA 5 K.O'!$C$8:$C$37,'200K OMAHA 5 K.O'!$D$8:$D$37,$C137)</f>
        <v>0</v>
      </c>
      <c r="G137" s="8">
        <f>SUMIFS(HORSE!$C$8:$C$26,HORSE!$D$8:$D$26,$C137)</f>
        <v>0</v>
      </c>
      <c r="H137" s="8">
        <f>SUMIFS('SUPER K.O'!$C$8:$C$41,'SUPER K.O'!$D$8:$D$41,$C137)</f>
        <v>0</v>
      </c>
      <c r="I137" s="8">
        <f>SUMIFS('8 GAME'!$C$8:$C$21,'8 GAME'!$D$8:$D$21,$C137)</f>
        <v>0</v>
      </c>
      <c r="J137" s="8">
        <f>SUMIFS('100K OMAHA MYSTERY BOUNTY'!$C$8:$C$32,'100K OMAHA MYSTERY BOUNTY'!$D$8:$D$32,$C137)</f>
        <v>0</v>
      </c>
      <c r="K137" s="8">
        <f>SUMIFS('CHAMPIONSHIP HIGH ROLLER 200K'!$C$8:$C$72,'CHAMPIONSHIP HIGH ROLLER 200K'!$D$8:$D$72,$C137)</f>
        <v>0</v>
      </c>
      <c r="L137" s="8">
        <f>SUMIFS('PLO-NLH DEALER´S CHOICE PIJAMA'!$C$8:$C$27,'PLO-NLH DEALER´S CHOICE PIJAMA'!$D$8:$D$27,$C137)</f>
        <v>10</v>
      </c>
      <c r="M137" s="8">
        <f>SUMIFS('Main Event SPT - Dia Final'!$C$8:$C$221,'Main Event SPT - Dia Final'!$D$8:$D$221,$C137)</f>
        <v>10</v>
      </c>
      <c r="N137" s="8">
        <f>SUMIFS('SECOND CHANCE'!$C$8:$C$86,'SECOND CHANCE'!$D$8:$D$86,$C137)</f>
        <v>10</v>
      </c>
      <c r="O137" s="8">
        <f>SUMIFS('HIGH ROLLER 50K'!$C$8:$C$38,'HIGH ROLLER 50K'!$D$8:$D$38,$C137)</f>
        <v>0</v>
      </c>
      <c r="P137" s="8">
        <f>SUMIFS('OMAHA DEALER´S CHOICE'!$C$8:$C$30,'OMAHA DEALER´S CHOICE'!$D$8:$D$30,$C137)</f>
        <v>0</v>
      </c>
    </row>
    <row r="138" spans="1:16">
      <c r="A138" s="4">
        <f t="shared" si="4"/>
        <v>120</v>
      </c>
      <c r="B138" s="5" t="s">
        <v>264</v>
      </c>
      <c r="C138" s="6" t="s">
        <v>265</v>
      </c>
      <c r="D138" s="7">
        <f t="shared" si="5"/>
        <v>30</v>
      </c>
      <c r="E138" s="4">
        <f>COUNTIF('200K OMAHA 5 K.O'!$D$8:$D$37,$C138)+COUNTIF(HORSE!$D$8:$D$26,$C138)+COUNTIF('SUPER K.O'!$D$8:$D$41,$C138)+COUNTIF('8 GAME'!$D$8:$D$21,$C138)+COUNTIF('100K OMAHA MYSTERY BOUNTY'!$D$8:$D$32,$C138)+COUNTIF('CHAMPIONSHIP HIGH ROLLER 200K'!$D$8:$D$72,$C138)+COUNTIF('PLO-NLH DEALER´S CHOICE PIJAMA'!$D$8:$D$27,$C138)+COUNTIF('Main Event SPT - Dia Final'!$D$8:$D$221,$C138)+COUNTIF('SECOND CHANCE'!$D$8:$D$86,$C138)+COUNTIF('HIGH ROLLER 50K'!$D$8:$D$38,$C138)+COUNTIF('OMAHA DEALER´S CHOICE'!$D$8:$D$30,$C138)</f>
        <v>3</v>
      </c>
      <c r="F138" s="8">
        <f>SUMIFS('200K OMAHA 5 K.O'!$C$8:$C$37,'200K OMAHA 5 K.O'!$D$8:$D$37,$C138)</f>
        <v>0</v>
      </c>
      <c r="G138" s="8">
        <f>SUMIFS(HORSE!$C$8:$C$26,HORSE!$D$8:$D$26,$C138)</f>
        <v>0</v>
      </c>
      <c r="H138" s="8">
        <f>SUMIFS('SUPER K.O'!$C$8:$C$41,'SUPER K.O'!$D$8:$D$41,$C138)</f>
        <v>0</v>
      </c>
      <c r="I138" s="8">
        <f>SUMIFS('8 GAME'!$C$8:$C$21,'8 GAME'!$D$8:$D$21,$C138)</f>
        <v>0</v>
      </c>
      <c r="J138" s="8">
        <f>SUMIFS('100K OMAHA MYSTERY BOUNTY'!$C$8:$C$32,'100K OMAHA MYSTERY BOUNTY'!$D$8:$D$32,$C138)</f>
        <v>0</v>
      </c>
      <c r="K138" s="8">
        <f>SUMIFS('CHAMPIONSHIP HIGH ROLLER 200K'!$C$8:$C$72,'CHAMPIONSHIP HIGH ROLLER 200K'!$D$8:$D$72,$C138)</f>
        <v>0</v>
      </c>
      <c r="L138" s="8">
        <f>SUMIFS('PLO-NLH DEALER´S CHOICE PIJAMA'!$C$8:$C$27,'PLO-NLH DEALER´S CHOICE PIJAMA'!$D$8:$D$27,$C138)</f>
        <v>10</v>
      </c>
      <c r="M138" s="8">
        <f>SUMIFS('Main Event SPT - Dia Final'!$C$8:$C$221,'Main Event SPT - Dia Final'!$D$8:$D$221,$C138)</f>
        <v>10</v>
      </c>
      <c r="N138" s="8">
        <f>SUMIFS('SECOND CHANCE'!$C$8:$C$86,'SECOND CHANCE'!$D$8:$D$86,$C138)</f>
        <v>10</v>
      </c>
      <c r="O138" s="8">
        <f>SUMIFS('HIGH ROLLER 50K'!$C$8:$C$38,'HIGH ROLLER 50K'!$D$8:$D$38,$C138)</f>
        <v>0</v>
      </c>
      <c r="P138" s="8">
        <f>SUMIFS('OMAHA DEALER´S CHOICE'!$C$8:$C$30,'OMAHA DEALER´S CHOICE'!$D$8:$D$30,$C138)</f>
        <v>0</v>
      </c>
    </row>
    <row r="139" spans="1:16">
      <c r="A139" s="4">
        <f t="shared" si="4"/>
        <v>120</v>
      </c>
      <c r="B139" s="5" t="s">
        <v>204</v>
      </c>
      <c r="C139" s="6" t="s">
        <v>205</v>
      </c>
      <c r="D139" s="7">
        <f t="shared" si="5"/>
        <v>30</v>
      </c>
      <c r="E139" s="4">
        <f>COUNTIF('200K OMAHA 5 K.O'!$D$8:$D$37,$C139)+COUNTIF(HORSE!$D$8:$D$26,$C139)+COUNTIF('SUPER K.O'!$D$8:$D$41,$C139)+COUNTIF('8 GAME'!$D$8:$D$21,$C139)+COUNTIF('100K OMAHA MYSTERY BOUNTY'!$D$8:$D$32,$C139)+COUNTIF('CHAMPIONSHIP HIGH ROLLER 200K'!$D$8:$D$72,$C139)+COUNTIF('PLO-NLH DEALER´S CHOICE PIJAMA'!$D$8:$D$27,$C139)+COUNTIF('Main Event SPT - Dia Final'!$D$8:$D$221,$C139)+COUNTIF('SECOND CHANCE'!$D$8:$D$86,$C139)+COUNTIF('HIGH ROLLER 50K'!$D$8:$D$38,$C139)+COUNTIF('OMAHA DEALER´S CHOICE'!$D$8:$D$30,$C139)</f>
        <v>3</v>
      </c>
      <c r="F139" s="8">
        <f>SUMIFS('200K OMAHA 5 K.O'!$C$8:$C$37,'200K OMAHA 5 K.O'!$D$8:$D$37,$C139)</f>
        <v>0</v>
      </c>
      <c r="G139" s="8">
        <f>SUMIFS(HORSE!$C$8:$C$26,HORSE!$D$8:$D$26,$C139)</f>
        <v>0</v>
      </c>
      <c r="H139" s="8">
        <f>SUMIFS('SUPER K.O'!$C$8:$C$41,'SUPER K.O'!$D$8:$D$41,$C139)</f>
        <v>0</v>
      </c>
      <c r="I139" s="8">
        <f>SUMIFS('8 GAME'!$C$8:$C$21,'8 GAME'!$D$8:$D$21,$C139)</f>
        <v>0</v>
      </c>
      <c r="J139" s="8">
        <f>SUMIFS('100K OMAHA MYSTERY BOUNTY'!$C$8:$C$32,'100K OMAHA MYSTERY BOUNTY'!$D$8:$D$32,$C139)</f>
        <v>0</v>
      </c>
      <c r="K139" s="8">
        <f>SUMIFS('CHAMPIONSHIP HIGH ROLLER 200K'!$C$8:$C$72,'CHAMPIONSHIP HIGH ROLLER 200K'!$D$8:$D$72,$C139)</f>
        <v>10</v>
      </c>
      <c r="L139" s="8">
        <f>SUMIFS('PLO-NLH DEALER´S CHOICE PIJAMA'!$C$8:$C$27,'PLO-NLH DEALER´S CHOICE PIJAMA'!$D$8:$D$27,$C139)</f>
        <v>0</v>
      </c>
      <c r="M139" s="8">
        <f>SUMIFS('Main Event SPT - Dia Final'!$C$8:$C$221,'Main Event SPT - Dia Final'!$D$8:$D$221,$C139)</f>
        <v>10</v>
      </c>
      <c r="N139" s="8">
        <f>SUMIFS('SECOND CHANCE'!$C$8:$C$86,'SECOND CHANCE'!$D$8:$D$86,$C139)</f>
        <v>10</v>
      </c>
      <c r="O139" s="8">
        <f>SUMIFS('HIGH ROLLER 50K'!$C$8:$C$38,'HIGH ROLLER 50K'!$D$8:$D$38,$C139)</f>
        <v>0</v>
      </c>
      <c r="P139" s="8">
        <f>SUMIFS('OMAHA DEALER´S CHOICE'!$C$8:$C$30,'OMAHA DEALER´S CHOICE'!$D$8:$D$30,$C139)</f>
        <v>0</v>
      </c>
    </row>
    <row r="140" spans="1:16">
      <c r="A140" s="4">
        <f t="shared" si="4"/>
        <v>120</v>
      </c>
      <c r="B140" s="5" t="s">
        <v>226</v>
      </c>
      <c r="C140" s="6" t="s">
        <v>227</v>
      </c>
      <c r="D140" s="7">
        <f t="shared" si="5"/>
        <v>30</v>
      </c>
      <c r="E140" s="4">
        <f>COUNTIF('200K OMAHA 5 K.O'!$D$8:$D$37,$C140)+COUNTIF(HORSE!$D$8:$D$26,$C140)+COUNTIF('SUPER K.O'!$D$8:$D$41,$C140)+COUNTIF('8 GAME'!$D$8:$D$21,$C140)+COUNTIF('100K OMAHA MYSTERY BOUNTY'!$D$8:$D$32,$C140)+COUNTIF('CHAMPIONSHIP HIGH ROLLER 200K'!$D$8:$D$72,$C140)+COUNTIF('PLO-NLH DEALER´S CHOICE PIJAMA'!$D$8:$D$27,$C140)+COUNTIF('Main Event SPT - Dia Final'!$D$8:$D$221,$C140)+COUNTIF('SECOND CHANCE'!$D$8:$D$86,$C140)+COUNTIF('HIGH ROLLER 50K'!$D$8:$D$38,$C140)+COUNTIF('OMAHA DEALER´S CHOICE'!$D$8:$D$30,$C140)</f>
        <v>3</v>
      </c>
      <c r="F140" s="8">
        <f>SUMIFS('200K OMAHA 5 K.O'!$C$8:$C$37,'200K OMAHA 5 K.O'!$D$8:$D$37,$C140)</f>
        <v>0</v>
      </c>
      <c r="G140" s="8">
        <f>SUMIFS(HORSE!$C$8:$C$26,HORSE!$D$8:$D$26,$C140)</f>
        <v>0</v>
      </c>
      <c r="H140" s="8">
        <f>SUMIFS('SUPER K.O'!$C$8:$C$41,'SUPER K.O'!$D$8:$D$41,$C140)</f>
        <v>0</v>
      </c>
      <c r="I140" s="8">
        <f>SUMIFS('8 GAME'!$C$8:$C$21,'8 GAME'!$D$8:$D$21,$C140)</f>
        <v>0</v>
      </c>
      <c r="J140" s="8">
        <f>SUMIFS('100K OMAHA MYSTERY BOUNTY'!$C$8:$C$32,'100K OMAHA MYSTERY BOUNTY'!$D$8:$D$32,$C140)</f>
        <v>0</v>
      </c>
      <c r="K140" s="8">
        <f>SUMIFS('CHAMPIONSHIP HIGH ROLLER 200K'!$C$8:$C$72,'CHAMPIONSHIP HIGH ROLLER 200K'!$D$8:$D$72,$C140)</f>
        <v>10</v>
      </c>
      <c r="L140" s="8">
        <f>SUMIFS('PLO-NLH DEALER´S CHOICE PIJAMA'!$C$8:$C$27,'PLO-NLH DEALER´S CHOICE PIJAMA'!$D$8:$D$27,$C140)</f>
        <v>0</v>
      </c>
      <c r="M140" s="8">
        <f>SUMIFS('Main Event SPT - Dia Final'!$C$8:$C$221,'Main Event SPT - Dia Final'!$D$8:$D$221,$C140)</f>
        <v>10</v>
      </c>
      <c r="N140" s="8">
        <f>SUMIFS('SECOND CHANCE'!$C$8:$C$86,'SECOND CHANCE'!$D$8:$D$86,$C140)</f>
        <v>0</v>
      </c>
      <c r="O140" s="8">
        <f>SUMIFS('HIGH ROLLER 50K'!$C$8:$C$38,'HIGH ROLLER 50K'!$D$8:$D$38,$C140)</f>
        <v>10</v>
      </c>
      <c r="P140" s="8">
        <f>SUMIFS('OMAHA DEALER´S CHOICE'!$C$8:$C$30,'OMAHA DEALER´S CHOICE'!$D$8:$D$30,$C140)</f>
        <v>0</v>
      </c>
    </row>
    <row r="141" spans="1:16">
      <c r="A141" s="4">
        <f t="shared" si="4"/>
        <v>120</v>
      </c>
      <c r="B141" s="5" t="s">
        <v>228</v>
      </c>
      <c r="C141" s="6" t="s">
        <v>229</v>
      </c>
      <c r="D141" s="7">
        <f t="shared" si="5"/>
        <v>30</v>
      </c>
      <c r="E141" s="4">
        <f>COUNTIF('200K OMAHA 5 K.O'!$D$8:$D$37,$C141)+COUNTIF(HORSE!$D$8:$D$26,$C141)+COUNTIF('SUPER K.O'!$D$8:$D$41,$C141)+COUNTIF('8 GAME'!$D$8:$D$21,$C141)+COUNTIF('100K OMAHA MYSTERY BOUNTY'!$D$8:$D$32,$C141)+COUNTIF('CHAMPIONSHIP HIGH ROLLER 200K'!$D$8:$D$72,$C141)+COUNTIF('PLO-NLH DEALER´S CHOICE PIJAMA'!$D$8:$D$27,$C141)+COUNTIF('Main Event SPT - Dia Final'!$D$8:$D$221,$C141)+COUNTIF('SECOND CHANCE'!$D$8:$D$86,$C141)+COUNTIF('HIGH ROLLER 50K'!$D$8:$D$38,$C141)+COUNTIF('OMAHA DEALER´S CHOICE'!$D$8:$D$30,$C141)</f>
        <v>3</v>
      </c>
      <c r="F141" s="8">
        <f>SUMIFS('200K OMAHA 5 K.O'!$C$8:$C$37,'200K OMAHA 5 K.O'!$D$8:$D$37,$C141)</f>
        <v>0</v>
      </c>
      <c r="G141" s="8">
        <f>SUMIFS(HORSE!$C$8:$C$26,HORSE!$D$8:$D$26,$C141)</f>
        <v>0</v>
      </c>
      <c r="H141" s="8">
        <f>SUMIFS('SUPER K.O'!$C$8:$C$41,'SUPER K.O'!$D$8:$D$41,$C141)</f>
        <v>0</v>
      </c>
      <c r="I141" s="8">
        <f>SUMIFS('8 GAME'!$C$8:$C$21,'8 GAME'!$D$8:$D$21,$C141)</f>
        <v>0</v>
      </c>
      <c r="J141" s="8">
        <f>SUMIFS('100K OMAHA MYSTERY BOUNTY'!$C$8:$C$32,'100K OMAHA MYSTERY BOUNTY'!$D$8:$D$32,$C141)</f>
        <v>0</v>
      </c>
      <c r="K141" s="8">
        <f>SUMIFS('CHAMPIONSHIP HIGH ROLLER 200K'!$C$8:$C$72,'CHAMPIONSHIP HIGH ROLLER 200K'!$D$8:$D$72,$C141)</f>
        <v>10</v>
      </c>
      <c r="L141" s="8">
        <f>SUMIFS('PLO-NLH DEALER´S CHOICE PIJAMA'!$C$8:$C$27,'PLO-NLH DEALER´S CHOICE PIJAMA'!$D$8:$D$27,$C141)</f>
        <v>0</v>
      </c>
      <c r="M141" s="8">
        <f>SUMIFS('Main Event SPT - Dia Final'!$C$8:$C$221,'Main Event SPT - Dia Final'!$D$8:$D$221,$C141)</f>
        <v>10</v>
      </c>
      <c r="N141" s="8">
        <f>SUMIFS('SECOND CHANCE'!$C$8:$C$86,'SECOND CHANCE'!$D$8:$D$86,$C141)</f>
        <v>0</v>
      </c>
      <c r="O141" s="8">
        <f>SUMIFS('HIGH ROLLER 50K'!$C$8:$C$38,'HIGH ROLLER 50K'!$D$8:$D$38,$C141)</f>
        <v>10</v>
      </c>
      <c r="P141" s="8">
        <f>SUMIFS('OMAHA DEALER´S CHOICE'!$C$8:$C$30,'OMAHA DEALER´S CHOICE'!$D$8:$D$30,$C141)</f>
        <v>0</v>
      </c>
    </row>
    <row r="142" spans="1:16">
      <c r="A142" s="4">
        <f t="shared" si="4"/>
        <v>120</v>
      </c>
      <c r="B142" s="5" t="s">
        <v>218</v>
      </c>
      <c r="C142" s="6" t="s">
        <v>219</v>
      </c>
      <c r="D142" s="7">
        <f t="shared" si="5"/>
        <v>30</v>
      </c>
      <c r="E142" s="4">
        <f>COUNTIF('200K OMAHA 5 K.O'!$D$8:$D$37,$C142)+COUNTIF(HORSE!$D$8:$D$26,$C142)+COUNTIF('SUPER K.O'!$D$8:$D$41,$C142)+COUNTIF('8 GAME'!$D$8:$D$21,$C142)+COUNTIF('100K OMAHA MYSTERY BOUNTY'!$D$8:$D$32,$C142)+COUNTIF('CHAMPIONSHIP HIGH ROLLER 200K'!$D$8:$D$72,$C142)+COUNTIF('PLO-NLH DEALER´S CHOICE PIJAMA'!$D$8:$D$27,$C142)+COUNTIF('Main Event SPT - Dia Final'!$D$8:$D$221,$C142)+COUNTIF('SECOND CHANCE'!$D$8:$D$86,$C142)+COUNTIF('HIGH ROLLER 50K'!$D$8:$D$38,$C142)+COUNTIF('OMAHA DEALER´S CHOICE'!$D$8:$D$30,$C142)</f>
        <v>3</v>
      </c>
      <c r="F142" s="8">
        <f>SUMIFS('200K OMAHA 5 K.O'!$C$8:$C$37,'200K OMAHA 5 K.O'!$D$8:$D$37,$C142)</f>
        <v>0</v>
      </c>
      <c r="G142" s="8">
        <f>SUMIFS(HORSE!$C$8:$C$26,HORSE!$D$8:$D$26,$C142)</f>
        <v>0</v>
      </c>
      <c r="H142" s="8">
        <f>SUMIFS('SUPER K.O'!$C$8:$C$41,'SUPER K.O'!$D$8:$D$41,$C142)</f>
        <v>0</v>
      </c>
      <c r="I142" s="8">
        <f>SUMIFS('8 GAME'!$C$8:$C$21,'8 GAME'!$D$8:$D$21,$C142)</f>
        <v>0</v>
      </c>
      <c r="J142" s="8">
        <f>SUMIFS('100K OMAHA MYSTERY BOUNTY'!$C$8:$C$32,'100K OMAHA MYSTERY BOUNTY'!$D$8:$D$32,$C142)</f>
        <v>0</v>
      </c>
      <c r="K142" s="8">
        <f>SUMIFS('CHAMPIONSHIP HIGH ROLLER 200K'!$C$8:$C$72,'CHAMPIONSHIP HIGH ROLLER 200K'!$D$8:$D$72,$C142)</f>
        <v>10</v>
      </c>
      <c r="L142" s="8">
        <f>SUMIFS('PLO-NLH DEALER´S CHOICE PIJAMA'!$C$8:$C$27,'PLO-NLH DEALER´S CHOICE PIJAMA'!$D$8:$D$27,$C142)</f>
        <v>0</v>
      </c>
      <c r="M142" s="8">
        <f>SUMIFS('Main Event SPT - Dia Final'!$C$8:$C$221,'Main Event SPT - Dia Final'!$D$8:$D$221,$C142)</f>
        <v>10</v>
      </c>
      <c r="N142" s="8">
        <f>SUMIFS('SECOND CHANCE'!$C$8:$C$86,'SECOND CHANCE'!$D$8:$D$86,$C142)</f>
        <v>0</v>
      </c>
      <c r="O142" s="8">
        <f>SUMIFS('HIGH ROLLER 50K'!$C$8:$C$38,'HIGH ROLLER 50K'!$D$8:$D$38,$C142)</f>
        <v>10</v>
      </c>
      <c r="P142" s="8">
        <f>SUMIFS('OMAHA DEALER´S CHOICE'!$C$8:$C$30,'OMAHA DEALER´S CHOICE'!$D$8:$D$30,$C142)</f>
        <v>0</v>
      </c>
    </row>
    <row r="143" spans="1:16">
      <c r="A143" s="4">
        <f t="shared" si="4"/>
        <v>120</v>
      </c>
      <c r="B143" s="5" t="s">
        <v>435</v>
      </c>
      <c r="C143" s="6" t="s">
        <v>436</v>
      </c>
      <c r="D143" s="7">
        <f t="shared" si="5"/>
        <v>30</v>
      </c>
      <c r="E143" s="4">
        <f>COUNTIF('200K OMAHA 5 K.O'!$D$8:$D$37,$C143)+COUNTIF(HORSE!$D$8:$D$26,$C143)+COUNTIF('SUPER K.O'!$D$8:$D$41,$C143)+COUNTIF('8 GAME'!$D$8:$D$21,$C143)+COUNTIF('100K OMAHA MYSTERY BOUNTY'!$D$8:$D$32,$C143)+COUNTIF('CHAMPIONSHIP HIGH ROLLER 200K'!$D$8:$D$72,$C143)+COUNTIF('PLO-NLH DEALER´S CHOICE PIJAMA'!$D$8:$D$27,$C143)+COUNTIF('Main Event SPT - Dia Final'!$D$8:$D$221,$C143)+COUNTIF('SECOND CHANCE'!$D$8:$D$86,$C143)+COUNTIF('HIGH ROLLER 50K'!$D$8:$D$38,$C143)+COUNTIF('OMAHA DEALER´S CHOICE'!$D$8:$D$30,$C143)</f>
        <v>3</v>
      </c>
      <c r="F143" s="8">
        <f>SUMIFS('200K OMAHA 5 K.O'!$C$8:$C$37,'200K OMAHA 5 K.O'!$D$8:$D$37,$C143)</f>
        <v>0</v>
      </c>
      <c r="G143" s="8">
        <f>SUMIFS(HORSE!$C$8:$C$26,HORSE!$D$8:$D$26,$C143)</f>
        <v>0</v>
      </c>
      <c r="H143" s="8">
        <f>SUMIFS('SUPER K.O'!$C$8:$C$41,'SUPER K.O'!$D$8:$D$41,$C143)</f>
        <v>0</v>
      </c>
      <c r="I143" s="8">
        <f>SUMIFS('8 GAME'!$C$8:$C$21,'8 GAME'!$D$8:$D$21,$C143)</f>
        <v>0</v>
      </c>
      <c r="J143" s="8">
        <f>SUMIFS('100K OMAHA MYSTERY BOUNTY'!$C$8:$C$32,'100K OMAHA MYSTERY BOUNTY'!$D$8:$D$32,$C143)</f>
        <v>0</v>
      </c>
      <c r="K143" s="8">
        <f>SUMIFS('CHAMPIONSHIP HIGH ROLLER 200K'!$C$8:$C$72,'CHAMPIONSHIP HIGH ROLLER 200K'!$D$8:$D$72,$C143)</f>
        <v>0</v>
      </c>
      <c r="L143" s="8">
        <f>SUMIFS('PLO-NLH DEALER´S CHOICE PIJAMA'!$C$8:$C$27,'PLO-NLH DEALER´S CHOICE PIJAMA'!$D$8:$D$27,$C143)</f>
        <v>0</v>
      </c>
      <c r="M143" s="8">
        <f>SUMIFS('Main Event SPT - Dia Final'!$C$8:$C$221,'Main Event SPT - Dia Final'!$D$8:$D$221,$C143)</f>
        <v>10</v>
      </c>
      <c r="N143" s="8">
        <f>SUMIFS('SECOND CHANCE'!$C$8:$C$86,'SECOND CHANCE'!$D$8:$D$86,$C143)</f>
        <v>10</v>
      </c>
      <c r="O143" s="8">
        <f>SUMIFS('HIGH ROLLER 50K'!$C$8:$C$38,'HIGH ROLLER 50K'!$D$8:$D$38,$C143)</f>
        <v>10</v>
      </c>
      <c r="P143" s="8">
        <f>SUMIFS('OMAHA DEALER´S CHOICE'!$C$8:$C$30,'OMAHA DEALER´S CHOICE'!$D$8:$D$30,$C143)</f>
        <v>0</v>
      </c>
    </row>
    <row r="144" spans="1:16">
      <c r="A144" s="4">
        <f t="shared" si="4"/>
        <v>140</v>
      </c>
      <c r="B144" s="5" t="s">
        <v>47</v>
      </c>
      <c r="C144" s="6" t="s">
        <v>48</v>
      </c>
      <c r="D144" s="7">
        <f t="shared" si="5"/>
        <v>20</v>
      </c>
      <c r="E144" s="4">
        <f>COUNTIF('200K OMAHA 5 K.O'!$D$8:$D$37,$C144)+COUNTIF(HORSE!$D$8:$D$26,$C144)+COUNTIF('SUPER K.O'!$D$8:$D$41,$C144)+COUNTIF('8 GAME'!$D$8:$D$21,$C144)+COUNTIF('100K OMAHA MYSTERY BOUNTY'!$D$8:$D$32,$C144)+COUNTIF('CHAMPIONSHIP HIGH ROLLER 200K'!$D$8:$D$72,$C144)+COUNTIF('PLO-NLH DEALER´S CHOICE PIJAMA'!$D$8:$D$27,$C144)+COUNTIF('Main Event SPT - Dia Final'!$D$8:$D$221,$C144)+COUNTIF('SECOND CHANCE'!$D$8:$D$86,$C144)+COUNTIF('HIGH ROLLER 50K'!$D$8:$D$38,$C144)+COUNTIF('OMAHA DEALER´S CHOICE'!$D$8:$D$30,$C144)</f>
        <v>2</v>
      </c>
      <c r="F144" s="8">
        <f>SUMIFS('200K OMAHA 5 K.O'!$C$8:$C$37,'200K OMAHA 5 K.O'!$D$8:$D$37,$C144)</f>
        <v>10</v>
      </c>
      <c r="G144" s="8">
        <f>SUMIFS(HORSE!$C$8:$C$26,HORSE!$D$8:$D$26,$C144)</f>
        <v>0</v>
      </c>
      <c r="H144" s="8">
        <f>SUMIFS('SUPER K.O'!$C$8:$C$41,'SUPER K.O'!$D$8:$D$41,$C144)</f>
        <v>0</v>
      </c>
      <c r="I144" s="8">
        <f>SUMIFS('8 GAME'!$C$8:$C$21,'8 GAME'!$D$8:$D$21,$C144)</f>
        <v>0</v>
      </c>
      <c r="J144" s="8">
        <f>SUMIFS('100K OMAHA MYSTERY BOUNTY'!$C$8:$C$32,'100K OMAHA MYSTERY BOUNTY'!$D$8:$D$32,$C144)</f>
        <v>0</v>
      </c>
      <c r="K144" s="8">
        <f>SUMIFS('CHAMPIONSHIP HIGH ROLLER 200K'!$C$8:$C$72,'CHAMPIONSHIP HIGH ROLLER 200K'!$D$8:$D$72,$C144)</f>
        <v>0</v>
      </c>
      <c r="L144" s="8">
        <f>SUMIFS('PLO-NLH DEALER´S CHOICE PIJAMA'!$C$8:$C$27,'PLO-NLH DEALER´S CHOICE PIJAMA'!$D$8:$D$27,$C144)</f>
        <v>0</v>
      </c>
      <c r="M144" s="8">
        <f>SUMIFS('Main Event SPT - Dia Final'!$C$8:$C$221,'Main Event SPT - Dia Final'!$D$8:$D$221,$C144)</f>
        <v>10</v>
      </c>
      <c r="N144" s="8">
        <f>SUMIFS('SECOND CHANCE'!$C$8:$C$86,'SECOND CHANCE'!$D$8:$D$86,$C144)</f>
        <v>0</v>
      </c>
      <c r="O144" s="8">
        <f>SUMIFS('HIGH ROLLER 50K'!$C$8:$C$38,'HIGH ROLLER 50K'!$D$8:$D$38,$C144)</f>
        <v>0</v>
      </c>
      <c r="P144" s="8">
        <f>SUMIFS('OMAHA DEALER´S CHOICE'!$C$8:$C$30,'OMAHA DEALER´S CHOICE'!$D$8:$D$30,$C144)</f>
        <v>0</v>
      </c>
    </row>
    <row r="145" spans="1:16">
      <c r="A145" s="4">
        <f t="shared" si="4"/>
        <v>140</v>
      </c>
      <c r="B145" s="5" t="s">
        <v>61</v>
      </c>
      <c r="C145" s="6" t="s">
        <v>62</v>
      </c>
      <c r="D145" s="7">
        <f t="shared" si="5"/>
        <v>20</v>
      </c>
      <c r="E145" s="4">
        <f>COUNTIF('200K OMAHA 5 K.O'!$D$8:$D$37,$C145)+COUNTIF(HORSE!$D$8:$D$26,$C145)+COUNTIF('SUPER K.O'!$D$8:$D$41,$C145)+COUNTIF('8 GAME'!$D$8:$D$21,$C145)+COUNTIF('100K OMAHA MYSTERY BOUNTY'!$D$8:$D$32,$C145)+COUNTIF('CHAMPIONSHIP HIGH ROLLER 200K'!$D$8:$D$72,$C145)+COUNTIF('PLO-NLH DEALER´S CHOICE PIJAMA'!$D$8:$D$27,$C145)+COUNTIF('Main Event SPT - Dia Final'!$D$8:$D$221,$C145)+COUNTIF('SECOND CHANCE'!$D$8:$D$86,$C145)+COUNTIF('HIGH ROLLER 50K'!$D$8:$D$38,$C145)+COUNTIF('OMAHA DEALER´S CHOICE'!$D$8:$D$30,$C145)</f>
        <v>2</v>
      </c>
      <c r="F145" s="8">
        <f>SUMIFS('200K OMAHA 5 K.O'!$C$8:$C$37,'200K OMAHA 5 K.O'!$D$8:$D$37,$C145)</f>
        <v>10</v>
      </c>
      <c r="G145" s="8">
        <f>SUMIFS(HORSE!$C$8:$C$26,HORSE!$D$8:$D$26,$C145)</f>
        <v>0</v>
      </c>
      <c r="H145" s="8">
        <f>SUMIFS('SUPER K.O'!$C$8:$C$41,'SUPER K.O'!$D$8:$D$41,$C145)</f>
        <v>0</v>
      </c>
      <c r="I145" s="8">
        <f>SUMIFS('8 GAME'!$C$8:$C$21,'8 GAME'!$D$8:$D$21,$C145)</f>
        <v>0</v>
      </c>
      <c r="J145" s="8">
        <f>SUMIFS('100K OMAHA MYSTERY BOUNTY'!$C$8:$C$32,'100K OMAHA MYSTERY BOUNTY'!$D$8:$D$32,$C145)</f>
        <v>0</v>
      </c>
      <c r="K145" s="8">
        <f>SUMIFS('CHAMPIONSHIP HIGH ROLLER 200K'!$C$8:$C$72,'CHAMPIONSHIP HIGH ROLLER 200K'!$D$8:$D$72,$C145)</f>
        <v>0</v>
      </c>
      <c r="L145" s="8">
        <f>SUMIFS('PLO-NLH DEALER´S CHOICE PIJAMA'!$C$8:$C$27,'PLO-NLH DEALER´S CHOICE PIJAMA'!$D$8:$D$27,$C145)</f>
        <v>0</v>
      </c>
      <c r="M145" s="8">
        <f>SUMIFS('Main Event SPT - Dia Final'!$C$8:$C$221,'Main Event SPT - Dia Final'!$D$8:$D$221,$C145)</f>
        <v>10</v>
      </c>
      <c r="N145" s="8">
        <f>SUMIFS('SECOND CHANCE'!$C$8:$C$86,'SECOND CHANCE'!$D$8:$D$86,$C145)</f>
        <v>0</v>
      </c>
      <c r="O145" s="8">
        <f>SUMIFS('HIGH ROLLER 50K'!$C$8:$C$38,'HIGH ROLLER 50K'!$D$8:$D$38,$C145)</f>
        <v>0</v>
      </c>
      <c r="P145" s="8">
        <f>SUMIFS('OMAHA DEALER´S CHOICE'!$C$8:$C$30,'OMAHA DEALER´S CHOICE'!$D$8:$D$30,$C145)</f>
        <v>0</v>
      </c>
    </row>
    <row r="146" spans="1:16">
      <c r="A146" s="4">
        <f t="shared" si="4"/>
        <v>140</v>
      </c>
      <c r="B146" s="5" t="s">
        <v>154</v>
      </c>
      <c r="C146" s="6" t="s">
        <v>155</v>
      </c>
      <c r="D146" s="7">
        <f t="shared" si="5"/>
        <v>20</v>
      </c>
      <c r="E146" s="4">
        <f>COUNTIF('200K OMAHA 5 K.O'!$D$8:$D$37,$C146)+COUNTIF(HORSE!$D$8:$D$26,$C146)+COUNTIF('SUPER K.O'!$D$8:$D$41,$C146)+COUNTIF('8 GAME'!$D$8:$D$21,$C146)+COUNTIF('100K OMAHA MYSTERY BOUNTY'!$D$8:$D$32,$C146)+COUNTIF('CHAMPIONSHIP HIGH ROLLER 200K'!$D$8:$D$72,$C146)+COUNTIF('PLO-NLH DEALER´S CHOICE PIJAMA'!$D$8:$D$27,$C146)+COUNTIF('Main Event SPT - Dia Final'!$D$8:$D$221,$C146)+COUNTIF('SECOND CHANCE'!$D$8:$D$86,$C146)+COUNTIF('HIGH ROLLER 50K'!$D$8:$D$38,$C146)+COUNTIF('OMAHA DEALER´S CHOICE'!$D$8:$D$30,$C146)</f>
        <v>2</v>
      </c>
      <c r="F146" s="8">
        <f>SUMIFS('200K OMAHA 5 K.O'!$C$8:$C$37,'200K OMAHA 5 K.O'!$D$8:$D$37,$C146)</f>
        <v>0</v>
      </c>
      <c r="G146" s="8">
        <f>SUMIFS(HORSE!$C$8:$C$26,HORSE!$D$8:$D$26,$C146)</f>
        <v>0</v>
      </c>
      <c r="H146" s="8">
        <f>SUMIFS('SUPER K.O'!$C$8:$C$41,'SUPER K.O'!$D$8:$D$41,$C146)</f>
        <v>10</v>
      </c>
      <c r="I146" s="8">
        <f>SUMIFS('8 GAME'!$C$8:$C$21,'8 GAME'!$D$8:$D$21,$C146)</f>
        <v>0</v>
      </c>
      <c r="J146" s="8">
        <f>SUMIFS('100K OMAHA MYSTERY BOUNTY'!$C$8:$C$32,'100K OMAHA MYSTERY BOUNTY'!$D$8:$D$32,$C146)</f>
        <v>0</v>
      </c>
      <c r="K146" s="8">
        <f>SUMIFS('CHAMPIONSHIP HIGH ROLLER 200K'!$C$8:$C$72,'CHAMPIONSHIP HIGH ROLLER 200K'!$D$8:$D$72,$C146)</f>
        <v>0</v>
      </c>
      <c r="L146" s="8">
        <f>SUMIFS('PLO-NLH DEALER´S CHOICE PIJAMA'!$C$8:$C$27,'PLO-NLH DEALER´S CHOICE PIJAMA'!$D$8:$D$27,$C146)</f>
        <v>0</v>
      </c>
      <c r="M146" s="8">
        <f>SUMIFS('Main Event SPT - Dia Final'!$C$8:$C$221,'Main Event SPT - Dia Final'!$D$8:$D$221,$C146)</f>
        <v>10</v>
      </c>
      <c r="N146" s="8">
        <f>SUMIFS('SECOND CHANCE'!$C$8:$C$86,'SECOND CHANCE'!$D$8:$D$86,$C146)</f>
        <v>0</v>
      </c>
      <c r="O146" s="8">
        <f>SUMIFS('HIGH ROLLER 50K'!$C$8:$C$38,'HIGH ROLLER 50K'!$D$8:$D$38,$C146)</f>
        <v>0</v>
      </c>
      <c r="P146" s="8">
        <f>SUMIFS('OMAHA DEALER´S CHOICE'!$C$8:$C$30,'OMAHA DEALER´S CHOICE'!$D$8:$D$30,$C146)</f>
        <v>0</v>
      </c>
    </row>
    <row r="147" spans="1:16">
      <c r="A147" s="4">
        <f t="shared" si="4"/>
        <v>140</v>
      </c>
      <c r="B147" s="5" t="s">
        <v>162</v>
      </c>
      <c r="C147" s="6" t="s">
        <v>163</v>
      </c>
      <c r="D147" s="7">
        <f t="shared" si="5"/>
        <v>20</v>
      </c>
      <c r="E147" s="4">
        <f>COUNTIF('200K OMAHA 5 K.O'!$D$8:$D$37,$C147)+COUNTIF(HORSE!$D$8:$D$26,$C147)+COUNTIF('SUPER K.O'!$D$8:$D$41,$C147)+COUNTIF('8 GAME'!$D$8:$D$21,$C147)+COUNTIF('100K OMAHA MYSTERY BOUNTY'!$D$8:$D$32,$C147)+COUNTIF('CHAMPIONSHIP HIGH ROLLER 200K'!$D$8:$D$72,$C147)+COUNTIF('PLO-NLH DEALER´S CHOICE PIJAMA'!$D$8:$D$27,$C147)+COUNTIF('Main Event SPT - Dia Final'!$D$8:$D$221,$C147)+COUNTIF('SECOND CHANCE'!$D$8:$D$86,$C147)+COUNTIF('HIGH ROLLER 50K'!$D$8:$D$38,$C147)+COUNTIF('OMAHA DEALER´S CHOICE'!$D$8:$D$30,$C147)</f>
        <v>2</v>
      </c>
      <c r="F147" s="8">
        <f>SUMIFS('200K OMAHA 5 K.O'!$C$8:$C$37,'200K OMAHA 5 K.O'!$D$8:$D$37,$C147)</f>
        <v>0</v>
      </c>
      <c r="G147" s="8">
        <f>SUMIFS(HORSE!$C$8:$C$26,HORSE!$D$8:$D$26,$C147)</f>
        <v>0</v>
      </c>
      <c r="H147" s="8">
        <f>SUMIFS('SUPER K.O'!$C$8:$C$41,'SUPER K.O'!$D$8:$D$41,$C147)</f>
        <v>10</v>
      </c>
      <c r="I147" s="8">
        <f>SUMIFS('8 GAME'!$C$8:$C$21,'8 GAME'!$D$8:$D$21,$C147)</f>
        <v>0</v>
      </c>
      <c r="J147" s="8">
        <f>SUMIFS('100K OMAHA MYSTERY BOUNTY'!$C$8:$C$32,'100K OMAHA MYSTERY BOUNTY'!$D$8:$D$32,$C147)</f>
        <v>0</v>
      </c>
      <c r="K147" s="8">
        <f>SUMIFS('CHAMPIONSHIP HIGH ROLLER 200K'!$C$8:$C$72,'CHAMPIONSHIP HIGH ROLLER 200K'!$D$8:$D$72,$C147)</f>
        <v>0</v>
      </c>
      <c r="L147" s="8">
        <f>SUMIFS('PLO-NLH DEALER´S CHOICE PIJAMA'!$C$8:$C$27,'PLO-NLH DEALER´S CHOICE PIJAMA'!$D$8:$D$27,$C147)</f>
        <v>0</v>
      </c>
      <c r="M147" s="8">
        <f>SUMIFS('Main Event SPT - Dia Final'!$C$8:$C$221,'Main Event SPT - Dia Final'!$D$8:$D$221,$C147)</f>
        <v>10</v>
      </c>
      <c r="N147" s="8">
        <f>SUMIFS('SECOND CHANCE'!$C$8:$C$86,'SECOND CHANCE'!$D$8:$D$86,$C147)</f>
        <v>0</v>
      </c>
      <c r="O147" s="8">
        <f>SUMIFS('HIGH ROLLER 50K'!$C$8:$C$38,'HIGH ROLLER 50K'!$D$8:$D$38,$C147)</f>
        <v>0</v>
      </c>
      <c r="P147" s="8">
        <f>SUMIFS('OMAHA DEALER´S CHOICE'!$C$8:$C$30,'OMAHA DEALER´S CHOICE'!$D$8:$D$30,$C147)</f>
        <v>0</v>
      </c>
    </row>
    <row r="148" spans="1:16">
      <c r="A148" s="4">
        <f t="shared" si="4"/>
        <v>140</v>
      </c>
      <c r="B148" s="5" t="s">
        <v>148</v>
      </c>
      <c r="C148" s="6" t="s">
        <v>149</v>
      </c>
      <c r="D148" s="7">
        <f t="shared" si="5"/>
        <v>20</v>
      </c>
      <c r="E148" s="4">
        <f>COUNTIF('200K OMAHA 5 K.O'!$D$8:$D$37,$C148)+COUNTIF(HORSE!$D$8:$D$26,$C148)+COUNTIF('SUPER K.O'!$D$8:$D$41,$C148)+COUNTIF('8 GAME'!$D$8:$D$21,$C148)+COUNTIF('100K OMAHA MYSTERY BOUNTY'!$D$8:$D$32,$C148)+COUNTIF('CHAMPIONSHIP HIGH ROLLER 200K'!$D$8:$D$72,$C148)+COUNTIF('PLO-NLH DEALER´S CHOICE PIJAMA'!$D$8:$D$27,$C148)+COUNTIF('Main Event SPT - Dia Final'!$D$8:$D$221,$C148)+COUNTIF('SECOND CHANCE'!$D$8:$D$86,$C148)+COUNTIF('HIGH ROLLER 50K'!$D$8:$D$38,$C148)+COUNTIF('OMAHA DEALER´S CHOICE'!$D$8:$D$30,$C148)</f>
        <v>2</v>
      </c>
      <c r="F148" s="8">
        <f>SUMIFS('200K OMAHA 5 K.O'!$C$8:$C$37,'200K OMAHA 5 K.O'!$D$8:$D$37,$C148)</f>
        <v>0</v>
      </c>
      <c r="G148" s="8">
        <f>SUMIFS(HORSE!$C$8:$C$26,HORSE!$D$8:$D$26,$C148)</f>
        <v>0</v>
      </c>
      <c r="H148" s="8">
        <f>SUMIFS('SUPER K.O'!$C$8:$C$41,'SUPER K.O'!$D$8:$D$41,$C148)</f>
        <v>10</v>
      </c>
      <c r="I148" s="8">
        <f>SUMIFS('8 GAME'!$C$8:$C$21,'8 GAME'!$D$8:$D$21,$C148)</f>
        <v>0</v>
      </c>
      <c r="J148" s="8">
        <f>SUMIFS('100K OMAHA MYSTERY BOUNTY'!$C$8:$C$32,'100K OMAHA MYSTERY BOUNTY'!$D$8:$D$32,$C148)</f>
        <v>0</v>
      </c>
      <c r="K148" s="8">
        <f>SUMIFS('CHAMPIONSHIP HIGH ROLLER 200K'!$C$8:$C$72,'CHAMPIONSHIP HIGH ROLLER 200K'!$D$8:$D$72,$C148)</f>
        <v>0</v>
      </c>
      <c r="L148" s="8">
        <f>SUMIFS('PLO-NLH DEALER´S CHOICE PIJAMA'!$C$8:$C$27,'PLO-NLH DEALER´S CHOICE PIJAMA'!$D$8:$D$27,$C148)</f>
        <v>0</v>
      </c>
      <c r="M148" s="8">
        <f>SUMIFS('Main Event SPT - Dia Final'!$C$8:$C$221,'Main Event SPT - Dia Final'!$D$8:$D$221,$C148)</f>
        <v>10</v>
      </c>
      <c r="N148" s="8">
        <f>SUMIFS('SECOND CHANCE'!$C$8:$C$86,'SECOND CHANCE'!$D$8:$D$86,$C148)</f>
        <v>0</v>
      </c>
      <c r="O148" s="8">
        <f>SUMIFS('HIGH ROLLER 50K'!$C$8:$C$38,'HIGH ROLLER 50K'!$D$8:$D$38,$C148)</f>
        <v>0</v>
      </c>
      <c r="P148" s="8">
        <f>SUMIFS('OMAHA DEALER´S CHOICE'!$C$8:$C$30,'OMAHA DEALER´S CHOICE'!$D$8:$D$30,$C148)</f>
        <v>0</v>
      </c>
    </row>
    <row r="149" spans="1:16">
      <c r="A149" s="4">
        <f t="shared" si="4"/>
        <v>140</v>
      </c>
      <c r="B149" s="5" t="s">
        <v>150</v>
      </c>
      <c r="C149" s="6" t="s">
        <v>151</v>
      </c>
      <c r="D149" s="7">
        <f t="shared" si="5"/>
        <v>20</v>
      </c>
      <c r="E149" s="4">
        <f>COUNTIF('200K OMAHA 5 K.O'!$D$8:$D$37,$C149)+COUNTIF(HORSE!$D$8:$D$26,$C149)+COUNTIF('SUPER K.O'!$D$8:$D$41,$C149)+COUNTIF('8 GAME'!$D$8:$D$21,$C149)+COUNTIF('100K OMAHA MYSTERY BOUNTY'!$D$8:$D$32,$C149)+COUNTIF('CHAMPIONSHIP HIGH ROLLER 200K'!$D$8:$D$72,$C149)+COUNTIF('PLO-NLH DEALER´S CHOICE PIJAMA'!$D$8:$D$27,$C149)+COUNTIF('Main Event SPT - Dia Final'!$D$8:$D$221,$C149)+COUNTIF('SECOND CHANCE'!$D$8:$D$86,$C149)+COUNTIF('HIGH ROLLER 50K'!$D$8:$D$38,$C149)+COUNTIF('OMAHA DEALER´S CHOICE'!$D$8:$D$30,$C149)</f>
        <v>2</v>
      </c>
      <c r="F149" s="8">
        <f>SUMIFS('200K OMAHA 5 K.O'!$C$8:$C$37,'200K OMAHA 5 K.O'!$D$8:$D$37,$C149)</f>
        <v>0</v>
      </c>
      <c r="G149" s="8">
        <f>SUMIFS(HORSE!$C$8:$C$26,HORSE!$D$8:$D$26,$C149)</f>
        <v>0</v>
      </c>
      <c r="H149" s="8">
        <f>SUMIFS('SUPER K.O'!$C$8:$C$41,'SUPER K.O'!$D$8:$D$41,$C149)</f>
        <v>10</v>
      </c>
      <c r="I149" s="8">
        <f>SUMIFS('8 GAME'!$C$8:$C$21,'8 GAME'!$D$8:$D$21,$C149)</f>
        <v>0</v>
      </c>
      <c r="J149" s="8">
        <f>SUMIFS('100K OMAHA MYSTERY BOUNTY'!$C$8:$C$32,'100K OMAHA MYSTERY BOUNTY'!$D$8:$D$32,$C149)</f>
        <v>0</v>
      </c>
      <c r="K149" s="8">
        <f>SUMIFS('CHAMPIONSHIP HIGH ROLLER 200K'!$C$8:$C$72,'CHAMPIONSHIP HIGH ROLLER 200K'!$D$8:$D$72,$C149)</f>
        <v>0</v>
      </c>
      <c r="L149" s="8">
        <f>SUMIFS('PLO-NLH DEALER´S CHOICE PIJAMA'!$C$8:$C$27,'PLO-NLH DEALER´S CHOICE PIJAMA'!$D$8:$D$27,$C149)</f>
        <v>0</v>
      </c>
      <c r="M149" s="8">
        <f>SUMIFS('Main Event SPT - Dia Final'!$C$8:$C$221,'Main Event SPT - Dia Final'!$D$8:$D$221,$C149)</f>
        <v>10</v>
      </c>
      <c r="N149" s="8">
        <f>SUMIFS('SECOND CHANCE'!$C$8:$C$86,'SECOND CHANCE'!$D$8:$D$86,$C149)</f>
        <v>0</v>
      </c>
      <c r="O149" s="8">
        <f>SUMIFS('HIGH ROLLER 50K'!$C$8:$C$38,'HIGH ROLLER 50K'!$D$8:$D$38,$C149)</f>
        <v>0</v>
      </c>
      <c r="P149" s="8">
        <f>SUMIFS('OMAHA DEALER´S CHOICE'!$C$8:$C$30,'OMAHA DEALER´S CHOICE'!$D$8:$D$30,$C149)</f>
        <v>0</v>
      </c>
    </row>
    <row r="150" spans="1:16">
      <c r="A150" s="4">
        <f t="shared" si="4"/>
        <v>140</v>
      </c>
      <c r="B150" s="5" t="s">
        <v>182</v>
      </c>
      <c r="C150" s="6" t="s">
        <v>183</v>
      </c>
      <c r="D150" s="7">
        <f t="shared" si="5"/>
        <v>20</v>
      </c>
      <c r="E150" s="4">
        <f>COUNTIF('200K OMAHA 5 K.O'!$D$8:$D$37,$C150)+COUNTIF(HORSE!$D$8:$D$26,$C150)+COUNTIF('SUPER K.O'!$D$8:$D$41,$C150)+COUNTIF('8 GAME'!$D$8:$D$21,$C150)+COUNTIF('100K OMAHA MYSTERY BOUNTY'!$D$8:$D$32,$C150)+COUNTIF('CHAMPIONSHIP HIGH ROLLER 200K'!$D$8:$D$72,$C150)+COUNTIF('PLO-NLH DEALER´S CHOICE PIJAMA'!$D$8:$D$27,$C150)+COUNTIF('Main Event SPT - Dia Final'!$D$8:$D$221,$C150)+COUNTIF('SECOND CHANCE'!$D$8:$D$86,$C150)+COUNTIF('HIGH ROLLER 50K'!$D$8:$D$38,$C150)+COUNTIF('OMAHA DEALER´S CHOICE'!$D$8:$D$30,$C150)</f>
        <v>2</v>
      </c>
      <c r="F150" s="8">
        <f>SUMIFS('200K OMAHA 5 K.O'!$C$8:$C$37,'200K OMAHA 5 K.O'!$D$8:$D$37,$C150)</f>
        <v>0</v>
      </c>
      <c r="G150" s="8">
        <f>SUMIFS(HORSE!$C$8:$C$26,HORSE!$D$8:$D$26,$C150)</f>
        <v>0</v>
      </c>
      <c r="H150" s="8">
        <f>SUMIFS('SUPER K.O'!$C$8:$C$41,'SUPER K.O'!$D$8:$D$41,$C150)</f>
        <v>0</v>
      </c>
      <c r="I150" s="8">
        <f>SUMIFS('8 GAME'!$C$8:$C$21,'8 GAME'!$D$8:$D$21,$C150)</f>
        <v>0</v>
      </c>
      <c r="J150" s="8">
        <f>SUMIFS('100K OMAHA MYSTERY BOUNTY'!$C$8:$C$32,'100K OMAHA MYSTERY BOUNTY'!$D$8:$D$32,$C150)</f>
        <v>10</v>
      </c>
      <c r="K150" s="8">
        <f>SUMIFS('CHAMPIONSHIP HIGH ROLLER 200K'!$C$8:$C$72,'CHAMPIONSHIP HIGH ROLLER 200K'!$D$8:$D$72,$C150)</f>
        <v>0</v>
      </c>
      <c r="L150" s="8">
        <f>SUMIFS('PLO-NLH DEALER´S CHOICE PIJAMA'!$C$8:$C$27,'PLO-NLH DEALER´S CHOICE PIJAMA'!$D$8:$D$27,$C150)</f>
        <v>0</v>
      </c>
      <c r="M150" s="8">
        <f>SUMIFS('Main Event SPT - Dia Final'!$C$8:$C$221,'Main Event SPT - Dia Final'!$D$8:$D$221,$C150)</f>
        <v>10</v>
      </c>
      <c r="N150" s="8">
        <f>SUMIFS('SECOND CHANCE'!$C$8:$C$86,'SECOND CHANCE'!$D$8:$D$86,$C150)</f>
        <v>0</v>
      </c>
      <c r="O150" s="8">
        <f>SUMIFS('HIGH ROLLER 50K'!$C$8:$C$38,'HIGH ROLLER 50K'!$D$8:$D$38,$C150)</f>
        <v>0</v>
      </c>
      <c r="P150" s="8">
        <f>SUMIFS('OMAHA DEALER´S CHOICE'!$C$8:$C$30,'OMAHA DEALER´S CHOICE'!$D$8:$D$30,$C150)</f>
        <v>0</v>
      </c>
    </row>
    <row r="151" spans="1:16">
      <c r="A151" s="4">
        <f t="shared" si="4"/>
        <v>140</v>
      </c>
      <c r="B151" s="5" t="s">
        <v>180</v>
      </c>
      <c r="C151" s="6" t="s">
        <v>181</v>
      </c>
      <c r="D151" s="7">
        <f t="shared" si="5"/>
        <v>20</v>
      </c>
      <c r="E151" s="4">
        <f>COUNTIF('200K OMAHA 5 K.O'!$D$8:$D$37,$C151)+COUNTIF(HORSE!$D$8:$D$26,$C151)+COUNTIF('SUPER K.O'!$D$8:$D$41,$C151)+COUNTIF('8 GAME'!$D$8:$D$21,$C151)+COUNTIF('100K OMAHA MYSTERY BOUNTY'!$D$8:$D$32,$C151)+COUNTIF('CHAMPIONSHIP HIGH ROLLER 200K'!$D$8:$D$72,$C151)+COUNTIF('PLO-NLH DEALER´S CHOICE PIJAMA'!$D$8:$D$27,$C151)+COUNTIF('Main Event SPT - Dia Final'!$D$8:$D$221,$C151)+COUNTIF('SECOND CHANCE'!$D$8:$D$86,$C151)+COUNTIF('HIGH ROLLER 50K'!$D$8:$D$38,$C151)+COUNTIF('OMAHA DEALER´S CHOICE'!$D$8:$D$30,$C151)</f>
        <v>2</v>
      </c>
      <c r="F151" s="8">
        <f>SUMIFS('200K OMAHA 5 K.O'!$C$8:$C$37,'200K OMAHA 5 K.O'!$D$8:$D$37,$C151)</f>
        <v>0</v>
      </c>
      <c r="G151" s="8">
        <f>SUMIFS(HORSE!$C$8:$C$26,HORSE!$D$8:$D$26,$C151)</f>
        <v>0</v>
      </c>
      <c r="H151" s="8">
        <f>SUMIFS('SUPER K.O'!$C$8:$C$41,'SUPER K.O'!$D$8:$D$41,$C151)</f>
        <v>0</v>
      </c>
      <c r="I151" s="8">
        <f>SUMIFS('8 GAME'!$C$8:$C$21,'8 GAME'!$D$8:$D$21,$C151)</f>
        <v>0</v>
      </c>
      <c r="J151" s="8">
        <f>SUMIFS('100K OMAHA MYSTERY BOUNTY'!$C$8:$C$32,'100K OMAHA MYSTERY BOUNTY'!$D$8:$D$32,$C151)</f>
        <v>10</v>
      </c>
      <c r="K151" s="8">
        <f>SUMIFS('CHAMPIONSHIP HIGH ROLLER 200K'!$C$8:$C$72,'CHAMPIONSHIP HIGH ROLLER 200K'!$D$8:$D$72,$C151)</f>
        <v>0</v>
      </c>
      <c r="L151" s="8">
        <f>SUMIFS('PLO-NLH DEALER´S CHOICE PIJAMA'!$C$8:$C$27,'PLO-NLH DEALER´S CHOICE PIJAMA'!$D$8:$D$27,$C151)</f>
        <v>0</v>
      </c>
      <c r="M151" s="8">
        <f>SUMIFS('Main Event SPT - Dia Final'!$C$8:$C$221,'Main Event SPT - Dia Final'!$D$8:$D$221,$C151)</f>
        <v>10</v>
      </c>
      <c r="N151" s="8">
        <f>SUMIFS('SECOND CHANCE'!$C$8:$C$86,'SECOND CHANCE'!$D$8:$D$86,$C151)</f>
        <v>0</v>
      </c>
      <c r="O151" s="8">
        <f>SUMIFS('HIGH ROLLER 50K'!$C$8:$C$38,'HIGH ROLLER 50K'!$D$8:$D$38,$C151)</f>
        <v>0</v>
      </c>
      <c r="P151" s="8">
        <f>SUMIFS('OMAHA DEALER´S CHOICE'!$C$8:$C$30,'OMAHA DEALER´S CHOICE'!$D$8:$D$30,$C151)</f>
        <v>0</v>
      </c>
    </row>
    <row r="152" spans="1:16">
      <c r="A152" s="4">
        <f t="shared" si="4"/>
        <v>140</v>
      </c>
      <c r="B152" s="5" t="s">
        <v>266</v>
      </c>
      <c r="C152" s="6" t="s">
        <v>267</v>
      </c>
      <c r="D152" s="7">
        <f t="shared" si="5"/>
        <v>20</v>
      </c>
      <c r="E152" s="4">
        <f>COUNTIF('200K OMAHA 5 K.O'!$D$8:$D$37,$C152)+COUNTIF(HORSE!$D$8:$D$26,$C152)+COUNTIF('SUPER K.O'!$D$8:$D$41,$C152)+COUNTIF('8 GAME'!$D$8:$D$21,$C152)+COUNTIF('100K OMAHA MYSTERY BOUNTY'!$D$8:$D$32,$C152)+COUNTIF('CHAMPIONSHIP HIGH ROLLER 200K'!$D$8:$D$72,$C152)+COUNTIF('PLO-NLH DEALER´S CHOICE PIJAMA'!$D$8:$D$27,$C152)+COUNTIF('Main Event SPT - Dia Final'!$D$8:$D$221,$C152)+COUNTIF('SECOND CHANCE'!$D$8:$D$86,$C152)+COUNTIF('HIGH ROLLER 50K'!$D$8:$D$38,$C152)+COUNTIF('OMAHA DEALER´S CHOICE'!$D$8:$D$30,$C152)</f>
        <v>2</v>
      </c>
      <c r="F152" s="8">
        <f>SUMIFS('200K OMAHA 5 K.O'!$C$8:$C$37,'200K OMAHA 5 K.O'!$D$8:$D$37,$C152)</f>
        <v>0</v>
      </c>
      <c r="G152" s="8">
        <f>SUMIFS(HORSE!$C$8:$C$26,HORSE!$D$8:$D$26,$C152)</f>
        <v>0</v>
      </c>
      <c r="H152" s="8">
        <f>SUMIFS('SUPER K.O'!$C$8:$C$41,'SUPER K.O'!$D$8:$D$41,$C152)</f>
        <v>0</v>
      </c>
      <c r="I152" s="8">
        <f>SUMIFS('8 GAME'!$C$8:$C$21,'8 GAME'!$D$8:$D$21,$C152)</f>
        <v>0</v>
      </c>
      <c r="J152" s="8">
        <f>SUMIFS('100K OMAHA MYSTERY BOUNTY'!$C$8:$C$32,'100K OMAHA MYSTERY BOUNTY'!$D$8:$D$32,$C152)</f>
        <v>0</v>
      </c>
      <c r="K152" s="8">
        <f>SUMIFS('CHAMPIONSHIP HIGH ROLLER 200K'!$C$8:$C$72,'CHAMPIONSHIP HIGH ROLLER 200K'!$D$8:$D$72,$C152)</f>
        <v>0</v>
      </c>
      <c r="L152" s="8">
        <f>SUMIFS('PLO-NLH DEALER´S CHOICE PIJAMA'!$C$8:$C$27,'PLO-NLH DEALER´S CHOICE PIJAMA'!$D$8:$D$27,$C152)</f>
        <v>10</v>
      </c>
      <c r="M152" s="8">
        <f>SUMIFS('Main Event SPT - Dia Final'!$C$8:$C$221,'Main Event SPT - Dia Final'!$D$8:$D$221,$C152)</f>
        <v>10</v>
      </c>
      <c r="N152" s="8">
        <f>SUMIFS('SECOND CHANCE'!$C$8:$C$86,'SECOND CHANCE'!$D$8:$D$86,$C152)</f>
        <v>0</v>
      </c>
      <c r="O152" s="8">
        <f>SUMIFS('HIGH ROLLER 50K'!$C$8:$C$38,'HIGH ROLLER 50K'!$D$8:$D$38,$C152)</f>
        <v>0</v>
      </c>
      <c r="P152" s="8">
        <f>SUMIFS('OMAHA DEALER´S CHOICE'!$C$8:$C$30,'OMAHA DEALER´S CHOICE'!$D$8:$D$30,$C152)</f>
        <v>0</v>
      </c>
    </row>
    <row r="153" spans="1:16">
      <c r="A153" s="4">
        <f t="shared" si="4"/>
        <v>140</v>
      </c>
      <c r="B153" s="5" t="s">
        <v>268</v>
      </c>
      <c r="C153" s="6" t="s">
        <v>269</v>
      </c>
      <c r="D153" s="7">
        <f t="shared" si="5"/>
        <v>20</v>
      </c>
      <c r="E153" s="4">
        <f>COUNTIF('200K OMAHA 5 K.O'!$D$8:$D$37,$C153)+COUNTIF(HORSE!$D$8:$D$26,$C153)+COUNTIF('SUPER K.O'!$D$8:$D$41,$C153)+COUNTIF('8 GAME'!$D$8:$D$21,$C153)+COUNTIF('100K OMAHA MYSTERY BOUNTY'!$D$8:$D$32,$C153)+COUNTIF('CHAMPIONSHIP HIGH ROLLER 200K'!$D$8:$D$72,$C153)+COUNTIF('PLO-NLH DEALER´S CHOICE PIJAMA'!$D$8:$D$27,$C153)+COUNTIF('Main Event SPT - Dia Final'!$D$8:$D$221,$C153)+COUNTIF('SECOND CHANCE'!$D$8:$D$86,$C153)+COUNTIF('HIGH ROLLER 50K'!$D$8:$D$38,$C153)+COUNTIF('OMAHA DEALER´S CHOICE'!$D$8:$D$30,$C153)</f>
        <v>2</v>
      </c>
      <c r="F153" s="8">
        <f>SUMIFS('200K OMAHA 5 K.O'!$C$8:$C$37,'200K OMAHA 5 K.O'!$D$8:$D$37,$C153)</f>
        <v>0</v>
      </c>
      <c r="G153" s="8">
        <f>SUMIFS(HORSE!$C$8:$C$26,HORSE!$D$8:$D$26,$C153)</f>
        <v>0</v>
      </c>
      <c r="H153" s="8">
        <f>SUMIFS('SUPER K.O'!$C$8:$C$41,'SUPER K.O'!$D$8:$D$41,$C153)</f>
        <v>0</v>
      </c>
      <c r="I153" s="8">
        <f>SUMIFS('8 GAME'!$C$8:$C$21,'8 GAME'!$D$8:$D$21,$C153)</f>
        <v>0</v>
      </c>
      <c r="J153" s="8">
        <f>SUMIFS('100K OMAHA MYSTERY BOUNTY'!$C$8:$C$32,'100K OMAHA MYSTERY BOUNTY'!$D$8:$D$32,$C153)</f>
        <v>0</v>
      </c>
      <c r="K153" s="8">
        <f>SUMIFS('CHAMPIONSHIP HIGH ROLLER 200K'!$C$8:$C$72,'CHAMPIONSHIP HIGH ROLLER 200K'!$D$8:$D$72,$C153)</f>
        <v>0</v>
      </c>
      <c r="L153" s="8">
        <f>SUMIFS('PLO-NLH DEALER´S CHOICE PIJAMA'!$C$8:$C$27,'PLO-NLH DEALER´S CHOICE PIJAMA'!$D$8:$D$27,$C153)</f>
        <v>10</v>
      </c>
      <c r="M153" s="8">
        <f>SUMIFS('Main Event SPT - Dia Final'!$C$8:$C$221,'Main Event SPT - Dia Final'!$D$8:$D$221,$C153)</f>
        <v>10</v>
      </c>
      <c r="N153" s="8">
        <f>SUMIFS('SECOND CHANCE'!$C$8:$C$86,'SECOND CHANCE'!$D$8:$D$86,$C153)</f>
        <v>0</v>
      </c>
      <c r="O153" s="8">
        <f>SUMIFS('HIGH ROLLER 50K'!$C$8:$C$38,'HIGH ROLLER 50K'!$D$8:$D$38,$C153)</f>
        <v>0</v>
      </c>
      <c r="P153" s="8">
        <f>SUMIFS('OMAHA DEALER´S CHOICE'!$C$8:$C$30,'OMAHA DEALER´S CHOICE'!$D$8:$D$30,$C153)</f>
        <v>0</v>
      </c>
    </row>
    <row r="154" spans="1:16">
      <c r="A154" s="4">
        <f t="shared" si="4"/>
        <v>140</v>
      </c>
      <c r="B154" s="5" t="s">
        <v>256</v>
      </c>
      <c r="C154" s="6" t="s">
        <v>257</v>
      </c>
      <c r="D154" s="7">
        <f t="shared" si="5"/>
        <v>20</v>
      </c>
      <c r="E154" s="4">
        <f>COUNTIF('200K OMAHA 5 K.O'!$D$8:$D$37,$C154)+COUNTIF(HORSE!$D$8:$D$26,$C154)+COUNTIF('SUPER K.O'!$D$8:$D$41,$C154)+COUNTIF('8 GAME'!$D$8:$D$21,$C154)+COUNTIF('100K OMAHA MYSTERY BOUNTY'!$D$8:$D$32,$C154)+COUNTIF('CHAMPIONSHIP HIGH ROLLER 200K'!$D$8:$D$72,$C154)+COUNTIF('PLO-NLH DEALER´S CHOICE PIJAMA'!$D$8:$D$27,$C154)+COUNTIF('Main Event SPT - Dia Final'!$D$8:$D$221,$C154)+COUNTIF('SECOND CHANCE'!$D$8:$D$86,$C154)+COUNTIF('HIGH ROLLER 50K'!$D$8:$D$38,$C154)+COUNTIF('OMAHA DEALER´S CHOICE'!$D$8:$D$30,$C154)</f>
        <v>2</v>
      </c>
      <c r="F154" s="8">
        <f>SUMIFS('200K OMAHA 5 K.O'!$C$8:$C$37,'200K OMAHA 5 K.O'!$D$8:$D$37,$C154)</f>
        <v>0</v>
      </c>
      <c r="G154" s="8">
        <f>SUMIFS(HORSE!$C$8:$C$26,HORSE!$D$8:$D$26,$C154)</f>
        <v>0</v>
      </c>
      <c r="H154" s="8">
        <f>SUMIFS('SUPER K.O'!$C$8:$C$41,'SUPER K.O'!$D$8:$D$41,$C154)</f>
        <v>0</v>
      </c>
      <c r="I154" s="8">
        <f>SUMIFS('8 GAME'!$C$8:$C$21,'8 GAME'!$D$8:$D$21,$C154)</f>
        <v>0</v>
      </c>
      <c r="J154" s="8">
        <f>SUMIFS('100K OMAHA MYSTERY BOUNTY'!$C$8:$C$32,'100K OMAHA MYSTERY BOUNTY'!$D$8:$D$32,$C154)</f>
        <v>0</v>
      </c>
      <c r="K154" s="8">
        <f>SUMIFS('CHAMPIONSHIP HIGH ROLLER 200K'!$C$8:$C$72,'CHAMPIONSHIP HIGH ROLLER 200K'!$D$8:$D$72,$C154)</f>
        <v>0</v>
      </c>
      <c r="L154" s="8">
        <f>SUMIFS('PLO-NLH DEALER´S CHOICE PIJAMA'!$C$8:$C$27,'PLO-NLH DEALER´S CHOICE PIJAMA'!$D$8:$D$27,$C154)</f>
        <v>10</v>
      </c>
      <c r="M154" s="8">
        <f>SUMIFS('Main Event SPT - Dia Final'!$C$8:$C$221,'Main Event SPT - Dia Final'!$D$8:$D$221,$C154)</f>
        <v>10</v>
      </c>
      <c r="N154" s="8">
        <f>SUMIFS('SECOND CHANCE'!$C$8:$C$86,'SECOND CHANCE'!$D$8:$D$86,$C154)</f>
        <v>0</v>
      </c>
      <c r="O154" s="8">
        <f>SUMIFS('HIGH ROLLER 50K'!$C$8:$C$38,'HIGH ROLLER 50K'!$D$8:$D$38,$C154)</f>
        <v>0</v>
      </c>
      <c r="P154" s="8">
        <f>SUMIFS('OMAHA DEALER´S CHOICE'!$C$8:$C$30,'OMAHA DEALER´S CHOICE'!$D$8:$D$30,$C154)</f>
        <v>0</v>
      </c>
    </row>
    <row r="155" spans="1:16">
      <c r="A155" s="4">
        <f t="shared" si="4"/>
        <v>140</v>
      </c>
      <c r="B155" s="5" t="s">
        <v>210</v>
      </c>
      <c r="C155" s="6" t="s">
        <v>211</v>
      </c>
      <c r="D155" s="7">
        <f t="shared" si="5"/>
        <v>20</v>
      </c>
      <c r="E155" s="4">
        <f>COUNTIF('200K OMAHA 5 K.O'!$D$8:$D$37,$C155)+COUNTIF(HORSE!$D$8:$D$26,$C155)+COUNTIF('SUPER K.O'!$D$8:$D$41,$C155)+COUNTIF('8 GAME'!$D$8:$D$21,$C155)+COUNTIF('100K OMAHA MYSTERY BOUNTY'!$D$8:$D$32,$C155)+COUNTIF('CHAMPIONSHIP HIGH ROLLER 200K'!$D$8:$D$72,$C155)+COUNTIF('PLO-NLH DEALER´S CHOICE PIJAMA'!$D$8:$D$27,$C155)+COUNTIF('Main Event SPT - Dia Final'!$D$8:$D$221,$C155)+COUNTIF('SECOND CHANCE'!$D$8:$D$86,$C155)+COUNTIF('HIGH ROLLER 50K'!$D$8:$D$38,$C155)+COUNTIF('OMAHA DEALER´S CHOICE'!$D$8:$D$30,$C155)</f>
        <v>2</v>
      </c>
      <c r="F155" s="8">
        <f>SUMIFS('200K OMAHA 5 K.O'!$C$8:$C$37,'200K OMAHA 5 K.O'!$D$8:$D$37,$C155)</f>
        <v>0</v>
      </c>
      <c r="G155" s="8">
        <f>SUMIFS(HORSE!$C$8:$C$26,HORSE!$D$8:$D$26,$C155)</f>
        <v>0</v>
      </c>
      <c r="H155" s="8">
        <f>SUMIFS('SUPER K.O'!$C$8:$C$41,'SUPER K.O'!$D$8:$D$41,$C155)</f>
        <v>0</v>
      </c>
      <c r="I155" s="8">
        <f>SUMIFS('8 GAME'!$C$8:$C$21,'8 GAME'!$D$8:$D$21,$C155)</f>
        <v>0</v>
      </c>
      <c r="J155" s="8">
        <f>SUMIFS('100K OMAHA MYSTERY BOUNTY'!$C$8:$C$32,'100K OMAHA MYSTERY BOUNTY'!$D$8:$D$32,$C155)</f>
        <v>0</v>
      </c>
      <c r="K155" s="8">
        <f>SUMIFS('CHAMPIONSHIP HIGH ROLLER 200K'!$C$8:$C$72,'CHAMPIONSHIP HIGH ROLLER 200K'!$D$8:$D$72,$C155)</f>
        <v>10</v>
      </c>
      <c r="L155" s="8">
        <f>SUMIFS('PLO-NLH DEALER´S CHOICE PIJAMA'!$C$8:$C$27,'PLO-NLH DEALER´S CHOICE PIJAMA'!$D$8:$D$27,$C155)</f>
        <v>0</v>
      </c>
      <c r="M155" s="8">
        <f>SUMIFS('Main Event SPT - Dia Final'!$C$8:$C$221,'Main Event SPT - Dia Final'!$D$8:$D$221,$C155)</f>
        <v>10</v>
      </c>
      <c r="N155" s="8">
        <f>SUMIFS('SECOND CHANCE'!$C$8:$C$86,'SECOND CHANCE'!$D$8:$D$86,$C155)</f>
        <v>0</v>
      </c>
      <c r="O155" s="8">
        <f>SUMIFS('HIGH ROLLER 50K'!$C$8:$C$38,'HIGH ROLLER 50K'!$D$8:$D$38,$C155)</f>
        <v>0</v>
      </c>
      <c r="P155" s="8">
        <f>SUMIFS('OMAHA DEALER´S CHOICE'!$C$8:$C$30,'OMAHA DEALER´S CHOICE'!$D$8:$D$30,$C155)</f>
        <v>0</v>
      </c>
    </row>
    <row r="156" spans="1:16">
      <c r="A156" s="4">
        <f t="shared" si="4"/>
        <v>140</v>
      </c>
      <c r="B156" s="5" t="s">
        <v>202</v>
      </c>
      <c r="C156" s="6" t="s">
        <v>203</v>
      </c>
      <c r="D156" s="7">
        <f t="shared" si="5"/>
        <v>20</v>
      </c>
      <c r="E156" s="4">
        <f>COUNTIF('200K OMAHA 5 K.O'!$D$8:$D$37,$C156)+COUNTIF(HORSE!$D$8:$D$26,$C156)+COUNTIF('SUPER K.O'!$D$8:$D$41,$C156)+COUNTIF('8 GAME'!$D$8:$D$21,$C156)+COUNTIF('100K OMAHA MYSTERY BOUNTY'!$D$8:$D$32,$C156)+COUNTIF('CHAMPIONSHIP HIGH ROLLER 200K'!$D$8:$D$72,$C156)+COUNTIF('PLO-NLH DEALER´S CHOICE PIJAMA'!$D$8:$D$27,$C156)+COUNTIF('Main Event SPT - Dia Final'!$D$8:$D$221,$C156)+COUNTIF('SECOND CHANCE'!$D$8:$D$86,$C156)+COUNTIF('HIGH ROLLER 50K'!$D$8:$D$38,$C156)+COUNTIF('OMAHA DEALER´S CHOICE'!$D$8:$D$30,$C156)</f>
        <v>2</v>
      </c>
      <c r="F156" s="8">
        <f>SUMIFS('200K OMAHA 5 K.O'!$C$8:$C$37,'200K OMAHA 5 K.O'!$D$8:$D$37,$C156)</f>
        <v>0</v>
      </c>
      <c r="G156" s="8">
        <f>SUMIFS(HORSE!$C$8:$C$26,HORSE!$D$8:$D$26,$C156)</f>
        <v>0</v>
      </c>
      <c r="H156" s="8">
        <f>SUMIFS('SUPER K.O'!$C$8:$C$41,'SUPER K.O'!$D$8:$D$41,$C156)</f>
        <v>0</v>
      </c>
      <c r="I156" s="8">
        <f>SUMIFS('8 GAME'!$C$8:$C$21,'8 GAME'!$D$8:$D$21,$C156)</f>
        <v>0</v>
      </c>
      <c r="J156" s="8">
        <f>SUMIFS('100K OMAHA MYSTERY BOUNTY'!$C$8:$C$32,'100K OMAHA MYSTERY BOUNTY'!$D$8:$D$32,$C156)</f>
        <v>0</v>
      </c>
      <c r="K156" s="8">
        <f>SUMIFS('CHAMPIONSHIP HIGH ROLLER 200K'!$C$8:$C$72,'CHAMPIONSHIP HIGH ROLLER 200K'!$D$8:$D$72,$C156)</f>
        <v>10</v>
      </c>
      <c r="L156" s="8">
        <f>SUMIFS('PLO-NLH DEALER´S CHOICE PIJAMA'!$C$8:$C$27,'PLO-NLH DEALER´S CHOICE PIJAMA'!$D$8:$D$27,$C156)</f>
        <v>0</v>
      </c>
      <c r="M156" s="8">
        <f>SUMIFS('Main Event SPT - Dia Final'!$C$8:$C$221,'Main Event SPT - Dia Final'!$D$8:$D$221,$C156)</f>
        <v>10</v>
      </c>
      <c r="N156" s="8">
        <f>SUMIFS('SECOND CHANCE'!$C$8:$C$86,'SECOND CHANCE'!$D$8:$D$86,$C156)</f>
        <v>0</v>
      </c>
      <c r="O156" s="8">
        <f>SUMIFS('HIGH ROLLER 50K'!$C$8:$C$38,'HIGH ROLLER 50K'!$D$8:$D$38,$C156)</f>
        <v>0</v>
      </c>
      <c r="P156" s="8">
        <f>SUMIFS('OMAHA DEALER´S CHOICE'!$C$8:$C$30,'OMAHA DEALER´S CHOICE'!$D$8:$D$30,$C156)</f>
        <v>0</v>
      </c>
    </row>
    <row r="157" spans="1:16">
      <c r="A157" s="4">
        <f t="shared" si="4"/>
        <v>140</v>
      </c>
      <c r="B157" s="5" t="s">
        <v>220</v>
      </c>
      <c r="C157" s="6" t="s">
        <v>221</v>
      </c>
      <c r="D157" s="7">
        <f t="shared" si="5"/>
        <v>20</v>
      </c>
      <c r="E157" s="4">
        <f>COUNTIF('200K OMAHA 5 K.O'!$D$8:$D$37,$C157)+COUNTIF(HORSE!$D$8:$D$26,$C157)+COUNTIF('SUPER K.O'!$D$8:$D$41,$C157)+COUNTIF('8 GAME'!$D$8:$D$21,$C157)+COUNTIF('100K OMAHA MYSTERY BOUNTY'!$D$8:$D$32,$C157)+COUNTIF('CHAMPIONSHIP HIGH ROLLER 200K'!$D$8:$D$72,$C157)+COUNTIF('PLO-NLH DEALER´S CHOICE PIJAMA'!$D$8:$D$27,$C157)+COUNTIF('Main Event SPT - Dia Final'!$D$8:$D$221,$C157)+COUNTIF('SECOND CHANCE'!$D$8:$D$86,$C157)+COUNTIF('HIGH ROLLER 50K'!$D$8:$D$38,$C157)+COUNTIF('OMAHA DEALER´S CHOICE'!$D$8:$D$30,$C157)</f>
        <v>2</v>
      </c>
      <c r="F157" s="8">
        <f>SUMIFS('200K OMAHA 5 K.O'!$C$8:$C$37,'200K OMAHA 5 K.O'!$D$8:$D$37,$C157)</f>
        <v>0</v>
      </c>
      <c r="G157" s="8">
        <f>SUMIFS(HORSE!$C$8:$C$26,HORSE!$D$8:$D$26,$C157)</f>
        <v>0</v>
      </c>
      <c r="H157" s="8">
        <f>SUMIFS('SUPER K.O'!$C$8:$C$41,'SUPER K.O'!$D$8:$D$41,$C157)</f>
        <v>0</v>
      </c>
      <c r="I157" s="8">
        <f>SUMIFS('8 GAME'!$C$8:$C$21,'8 GAME'!$D$8:$D$21,$C157)</f>
        <v>0</v>
      </c>
      <c r="J157" s="8">
        <f>SUMIFS('100K OMAHA MYSTERY BOUNTY'!$C$8:$C$32,'100K OMAHA MYSTERY BOUNTY'!$D$8:$D$32,$C157)</f>
        <v>0</v>
      </c>
      <c r="K157" s="8">
        <f>SUMIFS('CHAMPIONSHIP HIGH ROLLER 200K'!$C$8:$C$72,'CHAMPIONSHIP HIGH ROLLER 200K'!$D$8:$D$72,$C157)</f>
        <v>10</v>
      </c>
      <c r="L157" s="8">
        <f>SUMIFS('PLO-NLH DEALER´S CHOICE PIJAMA'!$C$8:$C$27,'PLO-NLH DEALER´S CHOICE PIJAMA'!$D$8:$D$27,$C157)</f>
        <v>0</v>
      </c>
      <c r="M157" s="8">
        <f>SUMIFS('Main Event SPT - Dia Final'!$C$8:$C$221,'Main Event SPT - Dia Final'!$D$8:$D$221,$C157)</f>
        <v>10</v>
      </c>
      <c r="N157" s="8">
        <f>SUMIFS('SECOND CHANCE'!$C$8:$C$86,'SECOND CHANCE'!$D$8:$D$86,$C157)</f>
        <v>0</v>
      </c>
      <c r="O157" s="8">
        <f>SUMIFS('HIGH ROLLER 50K'!$C$8:$C$38,'HIGH ROLLER 50K'!$D$8:$D$38,$C157)</f>
        <v>0</v>
      </c>
      <c r="P157" s="8">
        <f>SUMIFS('OMAHA DEALER´S CHOICE'!$C$8:$C$30,'OMAHA DEALER´S CHOICE'!$D$8:$D$30,$C157)</f>
        <v>0</v>
      </c>
    </row>
    <row r="158" spans="1:16">
      <c r="A158" s="4">
        <f t="shared" si="4"/>
        <v>140</v>
      </c>
      <c r="B158" s="5" t="s">
        <v>236</v>
      </c>
      <c r="C158" s="6" t="s">
        <v>237</v>
      </c>
      <c r="D158" s="7">
        <f t="shared" si="5"/>
        <v>20</v>
      </c>
      <c r="E158" s="4">
        <f>COUNTIF('200K OMAHA 5 K.O'!$D$8:$D$37,$C158)+COUNTIF(HORSE!$D$8:$D$26,$C158)+COUNTIF('SUPER K.O'!$D$8:$D$41,$C158)+COUNTIF('8 GAME'!$D$8:$D$21,$C158)+COUNTIF('100K OMAHA MYSTERY BOUNTY'!$D$8:$D$32,$C158)+COUNTIF('CHAMPIONSHIP HIGH ROLLER 200K'!$D$8:$D$72,$C158)+COUNTIF('PLO-NLH DEALER´S CHOICE PIJAMA'!$D$8:$D$27,$C158)+COUNTIF('Main Event SPT - Dia Final'!$D$8:$D$221,$C158)+COUNTIF('SECOND CHANCE'!$D$8:$D$86,$C158)+COUNTIF('HIGH ROLLER 50K'!$D$8:$D$38,$C158)+COUNTIF('OMAHA DEALER´S CHOICE'!$D$8:$D$30,$C158)</f>
        <v>2</v>
      </c>
      <c r="F158" s="8">
        <f>SUMIFS('200K OMAHA 5 K.O'!$C$8:$C$37,'200K OMAHA 5 K.O'!$D$8:$D$37,$C158)</f>
        <v>0</v>
      </c>
      <c r="G158" s="8">
        <f>SUMIFS(HORSE!$C$8:$C$26,HORSE!$D$8:$D$26,$C158)</f>
        <v>0</v>
      </c>
      <c r="H158" s="8">
        <f>SUMIFS('SUPER K.O'!$C$8:$C$41,'SUPER K.O'!$D$8:$D$41,$C158)</f>
        <v>0</v>
      </c>
      <c r="I158" s="8">
        <f>SUMIFS('8 GAME'!$C$8:$C$21,'8 GAME'!$D$8:$D$21,$C158)</f>
        <v>0</v>
      </c>
      <c r="J158" s="8">
        <f>SUMIFS('100K OMAHA MYSTERY BOUNTY'!$C$8:$C$32,'100K OMAHA MYSTERY BOUNTY'!$D$8:$D$32,$C158)</f>
        <v>0</v>
      </c>
      <c r="K158" s="8">
        <f>SUMIFS('CHAMPIONSHIP HIGH ROLLER 200K'!$C$8:$C$72,'CHAMPIONSHIP HIGH ROLLER 200K'!$D$8:$D$72,$C158)</f>
        <v>10</v>
      </c>
      <c r="L158" s="8">
        <f>SUMIFS('PLO-NLH DEALER´S CHOICE PIJAMA'!$C$8:$C$27,'PLO-NLH DEALER´S CHOICE PIJAMA'!$D$8:$D$27,$C158)</f>
        <v>0</v>
      </c>
      <c r="M158" s="8">
        <f>SUMIFS('Main Event SPT - Dia Final'!$C$8:$C$221,'Main Event SPT - Dia Final'!$D$8:$D$221,$C158)</f>
        <v>10</v>
      </c>
      <c r="N158" s="8">
        <f>SUMIFS('SECOND CHANCE'!$C$8:$C$86,'SECOND CHANCE'!$D$8:$D$86,$C158)</f>
        <v>0</v>
      </c>
      <c r="O158" s="8">
        <f>SUMIFS('HIGH ROLLER 50K'!$C$8:$C$38,'HIGH ROLLER 50K'!$D$8:$D$38,$C158)</f>
        <v>0</v>
      </c>
      <c r="P158" s="8">
        <f>SUMIFS('OMAHA DEALER´S CHOICE'!$C$8:$C$30,'OMAHA DEALER´S CHOICE'!$D$8:$D$30,$C158)</f>
        <v>0</v>
      </c>
    </row>
    <row r="159" spans="1:16">
      <c r="A159" s="4">
        <f t="shared" si="4"/>
        <v>140</v>
      </c>
      <c r="B159" s="5" t="s">
        <v>214</v>
      </c>
      <c r="C159" s="6" t="s">
        <v>215</v>
      </c>
      <c r="D159" s="7">
        <f t="shared" si="5"/>
        <v>20</v>
      </c>
      <c r="E159" s="4">
        <f>COUNTIF('200K OMAHA 5 K.O'!$D$8:$D$37,$C159)+COUNTIF(HORSE!$D$8:$D$26,$C159)+COUNTIF('SUPER K.O'!$D$8:$D$41,$C159)+COUNTIF('8 GAME'!$D$8:$D$21,$C159)+COUNTIF('100K OMAHA MYSTERY BOUNTY'!$D$8:$D$32,$C159)+COUNTIF('CHAMPIONSHIP HIGH ROLLER 200K'!$D$8:$D$72,$C159)+COUNTIF('PLO-NLH DEALER´S CHOICE PIJAMA'!$D$8:$D$27,$C159)+COUNTIF('Main Event SPT - Dia Final'!$D$8:$D$221,$C159)+COUNTIF('SECOND CHANCE'!$D$8:$D$86,$C159)+COUNTIF('HIGH ROLLER 50K'!$D$8:$D$38,$C159)+COUNTIF('OMAHA DEALER´S CHOICE'!$D$8:$D$30,$C159)</f>
        <v>2</v>
      </c>
      <c r="F159" s="8">
        <f>SUMIFS('200K OMAHA 5 K.O'!$C$8:$C$37,'200K OMAHA 5 K.O'!$D$8:$D$37,$C159)</f>
        <v>0</v>
      </c>
      <c r="G159" s="8">
        <f>SUMIFS(HORSE!$C$8:$C$26,HORSE!$D$8:$D$26,$C159)</f>
        <v>0</v>
      </c>
      <c r="H159" s="8">
        <f>SUMIFS('SUPER K.O'!$C$8:$C$41,'SUPER K.O'!$D$8:$D$41,$C159)</f>
        <v>0</v>
      </c>
      <c r="I159" s="8">
        <f>SUMIFS('8 GAME'!$C$8:$C$21,'8 GAME'!$D$8:$D$21,$C159)</f>
        <v>0</v>
      </c>
      <c r="J159" s="8">
        <f>SUMIFS('100K OMAHA MYSTERY BOUNTY'!$C$8:$C$32,'100K OMAHA MYSTERY BOUNTY'!$D$8:$D$32,$C159)</f>
        <v>0</v>
      </c>
      <c r="K159" s="8">
        <f>SUMIFS('CHAMPIONSHIP HIGH ROLLER 200K'!$C$8:$C$72,'CHAMPIONSHIP HIGH ROLLER 200K'!$D$8:$D$72,$C159)</f>
        <v>10</v>
      </c>
      <c r="L159" s="8">
        <f>SUMIFS('PLO-NLH DEALER´S CHOICE PIJAMA'!$C$8:$C$27,'PLO-NLH DEALER´S CHOICE PIJAMA'!$D$8:$D$27,$C159)</f>
        <v>0</v>
      </c>
      <c r="M159" s="8">
        <f>SUMIFS('Main Event SPT - Dia Final'!$C$8:$C$221,'Main Event SPT - Dia Final'!$D$8:$D$221,$C159)</f>
        <v>10</v>
      </c>
      <c r="N159" s="8">
        <f>SUMIFS('SECOND CHANCE'!$C$8:$C$86,'SECOND CHANCE'!$D$8:$D$86,$C159)</f>
        <v>0</v>
      </c>
      <c r="O159" s="8">
        <f>SUMIFS('HIGH ROLLER 50K'!$C$8:$C$38,'HIGH ROLLER 50K'!$D$8:$D$38,$C159)</f>
        <v>0</v>
      </c>
      <c r="P159" s="8">
        <f>SUMIFS('OMAHA DEALER´S CHOICE'!$C$8:$C$30,'OMAHA DEALER´S CHOICE'!$D$8:$D$30,$C159)</f>
        <v>0</v>
      </c>
    </row>
    <row r="160" spans="1:16">
      <c r="A160" s="4">
        <f t="shared" si="4"/>
        <v>140</v>
      </c>
      <c r="B160" s="5" t="s">
        <v>216</v>
      </c>
      <c r="C160" s="6" t="s">
        <v>217</v>
      </c>
      <c r="D160" s="7">
        <f t="shared" si="5"/>
        <v>20</v>
      </c>
      <c r="E160" s="4">
        <f>COUNTIF('200K OMAHA 5 K.O'!$D$8:$D$37,$C160)+COUNTIF(HORSE!$D$8:$D$26,$C160)+COUNTIF('SUPER K.O'!$D$8:$D$41,$C160)+COUNTIF('8 GAME'!$D$8:$D$21,$C160)+COUNTIF('100K OMAHA MYSTERY BOUNTY'!$D$8:$D$32,$C160)+COUNTIF('CHAMPIONSHIP HIGH ROLLER 200K'!$D$8:$D$72,$C160)+COUNTIF('PLO-NLH DEALER´S CHOICE PIJAMA'!$D$8:$D$27,$C160)+COUNTIF('Main Event SPT - Dia Final'!$D$8:$D$221,$C160)+COUNTIF('SECOND CHANCE'!$D$8:$D$86,$C160)+COUNTIF('HIGH ROLLER 50K'!$D$8:$D$38,$C160)+COUNTIF('OMAHA DEALER´S CHOICE'!$D$8:$D$30,$C160)</f>
        <v>2</v>
      </c>
      <c r="F160" s="8">
        <f>SUMIFS('200K OMAHA 5 K.O'!$C$8:$C$37,'200K OMAHA 5 K.O'!$D$8:$D$37,$C160)</f>
        <v>0</v>
      </c>
      <c r="G160" s="8">
        <f>SUMIFS(HORSE!$C$8:$C$26,HORSE!$D$8:$D$26,$C160)</f>
        <v>0</v>
      </c>
      <c r="H160" s="8">
        <f>SUMIFS('SUPER K.O'!$C$8:$C$41,'SUPER K.O'!$D$8:$D$41,$C160)</f>
        <v>0</v>
      </c>
      <c r="I160" s="8">
        <f>SUMIFS('8 GAME'!$C$8:$C$21,'8 GAME'!$D$8:$D$21,$C160)</f>
        <v>0</v>
      </c>
      <c r="J160" s="8">
        <f>SUMIFS('100K OMAHA MYSTERY BOUNTY'!$C$8:$C$32,'100K OMAHA MYSTERY BOUNTY'!$D$8:$D$32,$C160)</f>
        <v>0</v>
      </c>
      <c r="K160" s="8">
        <f>SUMIFS('CHAMPIONSHIP HIGH ROLLER 200K'!$C$8:$C$72,'CHAMPIONSHIP HIGH ROLLER 200K'!$D$8:$D$72,$C160)</f>
        <v>10</v>
      </c>
      <c r="L160" s="8">
        <f>SUMIFS('PLO-NLH DEALER´S CHOICE PIJAMA'!$C$8:$C$27,'PLO-NLH DEALER´S CHOICE PIJAMA'!$D$8:$D$27,$C160)</f>
        <v>0</v>
      </c>
      <c r="M160" s="8">
        <f>SUMIFS('Main Event SPT - Dia Final'!$C$8:$C$221,'Main Event SPT - Dia Final'!$D$8:$D$221,$C160)</f>
        <v>10</v>
      </c>
      <c r="N160" s="8">
        <f>SUMIFS('SECOND CHANCE'!$C$8:$C$86,'SECOND CHANCE'!$D$8:$D$86,$C160)</f>
        <v>0</v>
      </c>
      <c r="O160" s="8">
        <f>SUMIFS('HIGH ROLLER 50K'!$C$8:$C$38,'HIGH ROLLER 50K'!$D$8:$D$38,$C160)</f>
        <v>0</v>
      </c>
      <c r="P160" s="8">
        <f>SUMIFS('OMAHA DEALER´S CHOICE'!$C$8:$C$30,'OMAHA DEALER´S CHOICE'!$D$8:$D$30,$C160)</f>
        <v>0</v>
      </c>
    </row>
    <row r="161" spans="1:16">
      <c r="A161" s="4">
        <f t="shared" si="4"/>
        <v>140</v>
      </c>
      <c r="B161" s="5" t="s">
        <v>411</v>
      </c>
      <c r="C161" s="6" t="s">
        <v>412</v>
      </c>
      <c r="D161" s="7">
        <f t="shared" si="5"/>
        <v>20</v>
      </c>
      <c r="E161" s="4">
        <f>COUNTIF('200K OMAHA 5 K.O'!$D$8:$D$37,$C161)+COUNTIF(HORSE!$D$8:$D$26,$C161)+COUNTIF('SUPER K.O'!$D$8:$D$41,$C161)+COUNTIF('8 GAME'!$D$8:$D$21,$C161)+COUNTIF('100K OMAHA MYSTERY BOUNTY'!$D$8:$D$32,$C161)+COUNTIF('CHAMPIONSHIP HIGH ROLLER 200K'!$D$8:$D$72,$C161)+COUNTIF('PLO-NLH DEALER´S CHOICE PIJAMA'!$D$8:$D$27,$C161)+COUNTIF('Main Event SPT - Dia Final'!$D$8:$D$221,$C161)+COUNTIF('SECOND CHANCE'!$D$8:$D$86,$C161)+COUNTIF('HIGH ROLLER 50K'!$D$8:$D$38,$C161)+COUNTIF('OMAHA DEALER´S CHOICE'!$D$8:$D$30,$C161)</f>
        <v>2</v>
      </c>
      <c r="F161" s="8">
        <f>SUMIFS('200K OMAHA 5 K.O'!$C$8:$C$37,'200K OMAHA 5 K.O'!$D$8:$D$37,$C161)</f>
        <v>0</v>
      </c>
      <c r="G161" s="8">
        <f>SUMIFS(HORSE!$C$8:$C$26,HORSE!$D$8:$D$26,$C161)</f>
        <v>0</v>
      </c>
      <c r="H161" s="8">
        <f>SUMIFS('SUPER K.O'!$C$8:$C$41,'SUPER K.O'!$D$8:$D$41,$C161)</f>
        <v>0</v>
      </c>
      <c r="I161" s="8">
        <f>SUMIFS('8 GAME'!$C$8:$C$21,'8 GAME'!$D$8:$D$21,$C161)</f>
        <v>0</v>
      </c>
      <c r="J161" s="8">
        <f>SUMIFS('100K OMAHA MYSTERY BOUNTY'!$C$8:$C$32,'100K OMAHA MYSTERY BOUNTY'!$D$8:$D$32,$C161)</f>
        <v>0</v>
      </c>
      <c r="K161" s="8">
        <f>SUMIFS('CHAMPIONSHIP HIGH ROLLER 200K'!$C$8:$C$72,'CHAMPIONSHIP HIGH ROLLER 200K'!$D$8:$D$72,$C161)</f>
        <v>0</v>
      </c>
      <c r="L161" s="8">
        <f>SUMIFS('PLO-NLH DEALER´S CHOICE PIJAMA'!$C$8:$C$27,'PLO-NLH DEALER´S CHOICE PIJAMA'!$D$8:$D$27,$C161)</f>
        <v>0</v>
      </c>
      <c r="M161" s="8">
        <f>SUMIFS('Main Event SPT - Dia Final'!$C$8:$C$221,'Main Event SPT - Dia Final'!$D$8:$D$221,$C161)</f>
        <v>10</v>
      </c>
      <c r="N161" s="8">
        <f>SUMIFS('SECOND CHANCE'!$C$8:$C$86,'SECOND CHANCE'!$D$8:$D$86,$C161)</f>
        <v>10</v>
      </c>
      <c r="O161" s="8">
        <f>SUMIFS('HIGH ROLLER 50K'!$C$8:$C$38,'HIGH ROLLER 50K'!$D$8:$D$38,$C161)</f>
        <v>0</v>
      </c>
      <c r="P161" s="8">
        <f>SUMIFS('OMAHA DEALER´S CHOICE'!$C$8:$C$30,'OMAHA DEALER´S CHOICE'!$D$8:$D$30,$C161)</f>
        <v>0</v>
      </c>
    </row>
    <row r="162" spans="1:16">
      <c r="A162" s="4">
        <f t="shared" si="4"/>
        <v>140</v>
      </c>
      <c r="B162" s="5" t="s">
        <v>373</v>
      </c>
      <c r="C162" s="6" t="s">
        <v>374</v>
      </c>
      <c r="D162" s="7">
        <f t="shared" si="5"/>
        <v>20</v>
      </c>
      <c r="E162" s="4">
        <f>COUNTIF('200K OMAHA 5 K.O'!$D$8:$D$37,$C162)+COUNTIF(HORSE!$D$8:$D$26,$C162)+COUNTIF('SUPER K.O'!$D$8:$D$41,$C162)+COUNTIF('8 GAME'!$D$8:$D$21,$C162)+COUNTIF('100K OMAHA MYSTERY BOUNTY'!$D$8:$D$32,$C162)+COUNTIF('CHAMPIONSHIP HIGH ROLLER 200K'!$D$8:$D$72,$C162)+COUNTIF('PLO-NLH DEALER´S CHOICE PIJAMA'!$D$8:$D$27,$C162)+COUNTIF('Main Event SPT - Dia Final'!$D$8:$D$221,$C162)+COUNTIF('SECOND CHANCE'!$D$8:$D$86,$C162)+COUNTIF('HIGH ROLLER 50K'!$D$8:$D$38,$C162)+COUNTIF('OMAHA DEALER´S CHOICE'!$D$8:$D$30,$C162)</f>
        <v>2</v>
      </c>
      <c r="F162" s="8">
        <f>SUMIFS('200K OMAHA 5 K.O'!$C$8:$C$37,'200K OMAHA 5 K.O'!$D$8:$D$37,$C162)</f>
        <v>0</v>
      </c>
      <c r="G162" s="8">
        <f>SUMIFS(HORSE!$C$8:$C$26,HORSE!$D$8:$D$26,$C162)</f>
        <v>0</v>
      </c>
      <c r="H162" s="8">
        <f>SUMIFS('SUPER K.O'!$C$8:$C$41,'SUPER K.O'!$D$8:$D$41,$C162)</f>
        <v>0</v>
      </c>
      <c r="I162" s="8">
        <f>SUMIFS('8 GAME'!$C$8:$C$21,'8 GAME'!$D$8:$D$21,$C162)</f>
        <v>0</v>
      </c>
      <c r="J162" s="8">
        <f>SUMIFS('100K OMAHA MYSTERY BOUNTY'!$C$8:$C$32,'100K OMAHA MYSTERY BOUNTY'!$D$8:$D$32,$C162)</f>
        <v>0</v>
      </c>
      <c r="K162" s="8">
        <f>SUMIFS('CHAMPIONSHIP HIGH ROLLER 200K'!$C$8:$C$72,'CHAMPIONSHIP HIGH ROLLER 200K'!$D$8:$D$72,$C162)</f>
        <v>0</v>
      </c>
      <c r="L162" s="8">
        <f>SUMIFS('PLO-NLH DEALER´S CHOICE PIJAMA'!$C$8:$C$27,'PLO-NLH DEALER´S CHOICE PIJAMA'!$D$8:$D$27,$C162)</f>
        <v>0</v>
      </c>
      <c r="M162" s="8">
        <f>SUMIFS('Main Event SPT - Dia Final'!$C$8:$C$221,'Main Event SPT - Dia Final'!$D$8:$D$221,$C162)</f>
        <v>10</v>
      </c>
      <c r="N162" s="8">
        <f>SUMIFS('SECOND CHANCE'!$C$8:$C$86,'SECOND CHANCE'!$D$8:$D$86,$C162)</f>
        <v>10</v>
      </c>
      <c r="O162" s="8">
        <f>SUMIFS('HIGH ROLLER 50K'!$C$8:$C$38,'HIGH ROLLER 50K'!$D$8:$D$38,$C162)</f>
        <v>0</v>
      </c>
      <c r="P162" s="8">
        <f>SUMIFS('OMAHA DEALER´S CHOICE'!$C$8:$C$30,'OMAHA DEALER´S CHOICE'!$D$8:$D$30,$C162)</f>
        <v>0</v>
      </c>
    </row>
    <row r="163" spans="1:16">
      <c r="A163" s="4">
        <f t="shared" si="4"/>
        <v>140</v>
      </c>
      <c r="B163" s="5" t="s">
        <v>461</v>
      </c>
      <c r="C163" s="6" t="s">
        <v>462</v>
      </c>
      <c r="D163" s="7">
        <f t="shared" si="5"/>
        <v>20</v>
      </c>
      <c r="E163" s="4">
        <f>COUNTIF('200K OMAHA 5 K.O'!$D$8:$D$37,$C163)+COUNTIF(HORSE!$D$8:$D$26,$C163)+COUNTIF('SUPER K.O'!$D$8:$D$41,$C163)+COUNTIF('8 GAME'!$D$8:$D$21,$C163)+COUNTIF('100K OMAHA MYSTERY BOUNTY'!$D$8:$D$32,$C163)+COUNTIF('CHAMPIONSHIP HIGH ROLLER 200K'!$D$8:$D$72,$C163)+COUNTIF('PLO-NLH DEALER´S CHOICE PIJAMA'!$D$8:$D$27,$C163)+COUNTIF('Main Event SPT - Dia Final'!$D$8:$D$221,$C163)+COUNTIF('SECOND CHANCE'!$D$8:$D$86,$C163)+COUNTIF('HIGH ROLLER 50K'!$D$8:$D$38,$C163)+COUNTIF('OMAHA DEALER´S CHOICE'!$D$8:$D$30,$C163)</f>
        <v>2</v>
      </c>
      <c r="F163" s="8">
        <f>SUMIFS('200K OMAHA 5 K.O'!$C$8:$C$37,'200K OMAHA 5 K.O'!$D$8:$D$37,$C163)</f>
        <v>0</v>
      </c>
      <c r="G163" s="8">
        <f>SUMIFS(HORSE!$C$8:$C$26,HORSE!$D$8:$D$26,$C163)</f>
        <v>0</v>
      </c>
      <c r="H163" s="8">
        <f>SUMIFS('SUPER K.O'!$C$8:$C$41,'SUPER K.O'!$D$8:$D$41,$C163)</f>
        <v>0</v>
      </c>
      <c r="I163" s="8">
        <f>SUMIFS('8 GAME'!$C$8:$C$21,'8 GAME'!$D$8:$D$21,$C163)</f>
        <v>0</v>
      </c>
      <c r="J163" s="8">
        <f>SUMIFS('100K OMAHA MYSTERY BOUNTY'!$C$8:$C$32,'100K OMAHA MYSTERY BOUNTY'!$D$8:$D$32,$C163)</f>
        <v>0</v>
      </c>
      <c r="K163" s="8">
        <f>SUMIFS('CHAMPIONSHIP HIGH ROLLER 200K'!$C$8:$C$72,'CHAMPIONSHIP HIGH ROLLER 200K'!$D$8:$D$72,$C163)</f>
        <v>0</v>
      </c>
      <c r="L163" s="8">
        <f>SUMIFS('PLO-NLH DEALER´S CHOICE PIJAMA'!$C$8:$C$27,'PLO-NLH DEALER´S CHOICE PIJAMA'!$D$8:$D$27,$C163)</f>
        <v>0</v>
      </c>
      <c r="M163" s="8">
        <f>SUMIFS('Main Event SPT - Dia Final'!$C$8:$C$221,'Main Event SPT - Dia Final'!$D$8:$D$221,$C163)</f>
        <v>10</v>
      </c>
      <c r="N163" s="8">
        <f>SUMIFS('SECOND CHANCE'!$C$8:$C$86,'SECOND CHANCE'!$D$8:$D$86,$C163)</f>
        <v>10</v>
      </c>
      <c r="O163" s="8">
        <f>SUMIFS('HIGH ROLLER 50K'!$C$8:$C$38,'HIGH ROLLER 50K'!$D$8:$D$38,$C163)</f>
        <v>0</v>
      </c>
      <c r="P163" s="8">
        <f>SUMIFS('OMAHA DEALER´S CHOICE'!$C$8:$C$30,'OMAHA DEALER´S CHOICE'!$D$8:$D$30,$C163)</f>
        <v>0</v>
      </c>
    </row>
    <row r="164" spans="1:16">
      <c r="A164" s="4">
        <f t="shared" si="4"/>
        <v>140</v>
      </c>
      <c r="B164" s="5" t="s">
        <v>451</v>
      </c>
      <c r="C164" s="6" t="s">
        <v>452</v>
      </c>
      <c r="D164" s="7">
        <f t="shared" si="5"/>
        <v>20</v>
      </c>
      <c r="E164" s="4">
        <f>COUNTIF('200K OMAHA 5 K.O'!$D$8:$D$37,$C164)+COUNTIF(HORSE!$D$8:$D$26,$C164)+COUNTIF('SUPER K.O'!$D$8:$D$41,$C164)+COUNTIF('8 GAME'!$D$8:$D$21,$C164)+COUNTIF('100K OMAHA MYSTERY BOUNTY'!$D$8:$D$32,$C164)+COUNTIF('CHAMPIONSHIP HIGH ROLLER 200K'!$D$8:$D$72,$C164)+COUNTIF('PLO-NLH DEALER´S CHOICE PIJAMA'!$D$8:$D$27,$C164)+COUNTIF('Main Event SPT - Dia Final'!$D$8:$D$221,$C164)+COUNTIF('SECOND CHANCE'!$D$8:$D$86,$C164)+COUNTIF('HIGH ROLLER 50K'!$D$8:$D$38,$C164)+COUNTIF('OMAHA DEALER´S CHOICE'!$D$8:$D$30,$C164)</f>
        <v>2</v>
      </c>
      <c r="F164" s="8">
        <f>SUMIFS('200K OMAHA 5 K.O'!$C$8:$C$37,'200K OMAHA 5 K.O'!$D$8:$D$37,$C164)</f>
        <v>0</v>
      </c>
      <c r="G164" s="8">
        <f>SUMIFS(HORSE!$C$8:$C$26,HORSE!$D$8:$D$26,$C164)</f>
        <v>0</v>
      </c>
      <c r="H164" s="8">
        <f>SUMIFS('SUPER K.O'!$C$8:$C$41,'SUPER K.O'!$D$8:$D$41,$C164)</f>
        <v>0</v>
      </c>
      <c r="I164" s="8">
        <f>SUMIFS('8 GAME'!$C$8:$C$21,'8 GAME'!$D$8:$D$21,$C164)</f>
        <v>0</v>
      </c>
      <c r="J164" s="8">
        <f>SUMIFS('100K OMAHA MYSTERY BOUNTY'!$C$8:$C$32,'100K OMAHA MYSTERY BOUNTY'!$D$8:$D$32,$C164)</f>
        <v>0</v>
      </c>
      <c r="K164" s="8">
        <f>SUMIFS('CHAMPIONSHIP HIGH ROLLER 200K'!$C$8:$C$72,'CHAMPIONSHIP HIGH ROLLER 200K'!$D$8:$D$72,$C164)</f>
        <v>0</v>
      </c>
      <c r="L164" s="8">
        <f>SUMIFS('PLO-NLH DEALER´S CHOICE PIJAMA'!$C$8:$C$27,'PLO-NLH DEALER´S CHOICE PIJAMA'!$D$8:$D$27,$C164)</f>
        <v>0</v>
      </c>
      <c r="M164" s="8">
        <f>SUMIFS('Main Event SPT - Dia Final'!$C$8:$C$221,'Main Event SPT - Dia Final'!$D$8:$D$221,$C164)</f>
        <v>10</v>
      </c>
      <c r="N164" s="8">
        <f>SUMIFS('SECOND CHANCE'!$C$8:$C$86,'SECOND CHANCE'!$D$8:$D$86,$C164)</f>
        <v>10</v>
      </c>
      <c r="O164" s="8">
        <f>SUMIFS('HIGH ROLLER 50K'!$C$8:$C$38,'HIGH ROLLER 50K'!$D$8:$D$38,$C164)</f>
        <v>0</v>
      </c>
      <c r="P164" s="8">
        <f>SUMIFS('OMAHA DEALER´S CHOICE'!$C$8:$C$30,'OMAHA DEALER´S CHOICE'!$D$8:$D$30,$C164)</f>
        <v>0</v>
      </c>
    </row>
    <row r="165" spans="1:16">
      <c r="A165" s="4">
        <f t="shared" si="4"/>
        <v>140</v>
      </c>
      <c r="B165" s="5" t="s">
        <v>477</v>
      </c>
      <c r="C165" s="6" t="s">
        <v>478</v>
      </c>
      <c r="D165" s="7">
        <f t="shared" si="5"/>
        <v>20</v>
      </c>
      <c r="E165" s="4">
        <f>COUNTIF('200K OMAHA 5 K.O'!$D$8:$D$37,$C165)+COUNTIF(HORSE!$D$8:$D$26,$C165)+COUNTIF('SUPER K.O'!$D$8:$D$41,$C165)+COUNTIF('8 GAME'!$D$8:$D$21,$C165)+COUNTIF('100K OMAHA MYSTERY BOUNTY'!$D$8:$D$32,$C165)+COUNTIF('CHAMPIONSHIP HIGH ROLLER 200K'!$D$8:$D$72,$C165)+COUNTIF('PLO-NLH DEALER´S CHOICE PIJAMA'!$D$8:$D$27,$C165)+COUNTIF('Main Event SPT - Dia Final'!$D$8:$D$221,$C165)+COUNTIF('SECOND CHANCE'!$D$8:$D$86,$C165)+COUNTIF('HIGH ROLLER 50K'!$D$8:$D$38,$C165)+COUNTIF('OMAHA DEALER´S CHOICE'!$D$8:$D$30,$C165)</f>
        <v>2</v>
      </c>
      <c r="F165" s="8">
        <f>SUMIFS('200K OMAHA 5 K.O'!$C$8:$C$37,'200K OMAHA 5 K.O'!$D$8:$D$37,$C165)</f>
        <v>0</v>
      </c>
      <c r="G165" s="8">
        <f>SUMIFS(HORSE!$C$8:$C$26,HORSE!$D$8:$D$26,$C165)</f>
        <v>0</v>
      </c>
      <c r="H165" s="8">
        <f>SUMIFS('SUPER K.O'!$C$8:$C$41,'SUPER K.O'!$D$8:$D$41,$C165)</f>
        <v>0</v>
      </c>
      <c r="I165" s="8">
        <f>SUMIFS('8 GAME'!$C$8:$C$21,'8 GAME'!$D$8:$D$21,$C165)</f>
        <v>0</v>
      </c>
      <c r="J165" s="8">
        <f>SUMIFS('100K OMAHA MYSTERY BOUNTY'!$C$8:$C$32,'100K OMAHA MYSTERY BOUNTY'!$D$8:$D$32,$C165)</f>
        <v>0</v>
      </c>
      <c r="K165" s="8">
        <f>SUMIFS('CHAMPIONSHIP HIGH ROLLER 200K'!$C$8:$C$72,'CHAMPIONSHIP HIGH ROLLER 200K'!$D$8:$D$72,$C165)</f>
        <v>0</v>
      </c>
      <c r="L165" s="8">
        <f>SUMIFS('PLO-NLH DEALER´S CHOICE PIJAMA'!$C$8:$C$27,'PLO-NLH DEALER´S CHOICE PIJAMA'!$D$8:$D$27,$C165)</f>
        <v>0</v>
      </c>
      <c r="M165" s="8">
        <f>SUMIFS('Main Event SPT - Dia Final'!$C$8:$C$221,'Main Event SPT - Dia Final'!$D$8:$D$221,$C165)</f>
        <v>10</v>
      </c>
      <c r="N165" s="8">
        <f>SUMIFS('SECOND CHANCE'!$C$8:$C$86,'SECOND CHANCE'!$D$8:$D$86,$C165)</f>
        <v>10</v>
      </c>
      <c r="O165" s="8">
        <f>SUMIFS('HIGH ROLLER 50K'!$C$8:$C$38,'HIGH ROLLER 50K'!$D$8:$D$38,$C165)</f>
        <v>0</v>
      </c>
      <c r="P165" s="8">
        <f>SUMIFS('OMAHA DEALER´S CHOICE'!$C$8:$C$30,'OMAHA DEALER´S CHOICE'!$D$8:$D$30,$C165)</f>
        <v>0</v>
      </c>
    </row>
    <row r="166" spans="1:16">
      <c r="A166" s="4">
        <f t="shared" si="4"/>
        <v>140</v>
      </c>
      <c r="B166" s="5" t="s">
        <v>401</v>
      </c>
      <c r="C166" s="6" t="s">
        <v>402</v>
      </c>
      <c r="D166" s="7">
        <f t="shared" si="5"/>
        <v>20</v>
      </c>
      <c r="E166" s="4">
        <f>COUNTIF('200K OMAHA 5 K.O'!$D$8:$D$37,$C166)+COUNTIF(HORSE!$D$8:$D$26,$C166)+COUNTIF('SUPER K.O'!$D$8:$D$41,$C166)+COUNTIF('8 GAME'!$D$8:$D$21,$C166)+COUNTIF('100K OMAHA MYSTERY BOUNTY'!$D$8:$D$32,$C166)+COUNTIF('CHAMPIONSHIP HIGH ROLLER 200K'!$D$8:$D$72,$C166)+COUNTIF('PLO-NLH DEALER´S CHOICE PIJAMA'!$D$8:$D$27,$C166)+COUNTIF('Main Event SPT - Dia Final'!$D$8:$D$221,$C166)+COUNTIF('SECOND CHANCE'!$D$8:$D$86,$C166)+COUNTIF('HIGH ROLLER 50K'!$D$8:$D$38,$C166)+COUNTIF('OMAHA DEALER´S CHOICE'!$D$8:$D$30,$C166)</f>
        <v>2</v>
      </c>
      <c r="F166" s="8">
        <f>SUMIFS('200K OMAHA 5 K.O'!$C$8:$C$37,'200K OMAHA 5 K.O'!$D$8:$D$37,$C166)</f>
        <v>0</v>
      </c>
      <c r="G166" s="8">
        <f>SUMIFS(HORSE!$C$8:$C$26,HORSE!$D$8:$D$26,$C166)</f>
        <v>0</v>
      </c>
      <c r="H166" s="8">
        <f>SUMIFS('SUPER K.O'!$C$8:$C$41,'SUPER K.O'!$D$8:$D$41,$C166)</f>
        <v>0</v>
      </c>
      <c r="I166" s="8">
        <f>SUMIFS('8 GAME'!$C$8:$C$21,'8 GAME'!$D$8:$D$21,$C166)</f>
        <v>0</v>
      </c>
      <c r="J166" s="8">
        <f>SUMIFS('100K OMAHA MYSTERY BOUNTY'!$C$8:$C$32,'100K OMAHA MYSTERY BOUNTY'!$D$8:$D$32,$C166)</f>
        <v>0</v>
      </c>
      <c r="K166" s="8">
        <f>SUMIFS('CHAMPIONSHIP HIGH ROLLER 200K'!$C$8:$C$72,'CHAMPIONSHIP HIGH ROLLER 200K'!$D$8:$D$72,$C166)</f>
        <v>0</v>
      </c>
      <c r="L166" s="8">
        <f>SUMIFS('PLO-NLH DEALER´S CHOICE PIJAMA'!$C$8:$C$27,'PLO-NLH DEALER´S CHOICE PIJAMA'!$D$8:$D$27,$C166)</f>
        <v>0</v>
      </c>
      <c r="M166" s="8">
        <f>SUMIFS('Main Event SPT - Dia Final'!$C$8:$C$221,'Main Event SPT - Dia Final'!$D$8:$D$221,$C166)</f>
        <v>10</v>
      </c>
      <c r="N166" s="8">
        <f>SUMIFS('SECOND CHANCE'!$C$8:$C$86,'SECOND CHANCE'!$D$8:$D$86,$C166)</f>
        <v>10</v>
      </c>
      <c r="O166" s="8">
        <f>SUMIFS('HIGH ROLLER 50K'!$C$8:$C$38,'HIGH ROLLER 50K'!$D$8:$D$38,$C166)</f>
        <v>0</v>
      </c>
      <c r="P166" s="8">
        <f>SUMIFS('OMAHA DEALER´S CHOICE'!$C$8:$C$30,'OMAHA DEALER´S CHOICE'!$D$8:$D$30,$C166)</f>
        <v>0</v>
      </c>
    </row>
    <row r="167" spans="1:16">
      <c r="A167" s="4">
        <f t="shared" si="4"/>
        <v>140</v>
      </c>
      <c r="B167" s="5" t="s">
        <v>345</v>
      </c>
      <c r="C167" s="6" t="s">
        <v>346</v>
      </c>
      <c r="D167" s="7">
        <f t="shared" si="5"/>
        <v>20</v>
      </c>
      <c r="E167" s="4">
        <f>COUNTIF('200K OMAHA 5 K.O'!$D$8:$D$37,$C167)+COUNTIF(HORSE!$D$8:$D$26,$C167)+COUNTIF('SUPER K.O'!$D$8:$D$41,$C167)+COUNTIF('8 GAME'!$D$8:$D$21,$C167)+COUNTIF('100K OMAHA MYSTERY BOUNTY'!$D$8:$D$32,$C167)+COUNTIF('CHAMPIONSHIP HIGH ROLLER 200K'!$D$8:$D$72,$C167)+COUNTIF('PLO-NLH DEALER´S CHOICE PIJAMA'!$D$8:$D$27,$C167)+COUNTIF('Main Event SPT - Dia Final'!$D$8:$D$221,$C167)+COUNTIF('SECOND CHANCE'!$D$8:$D$86,$C167)+COUNTIF('HIGH ROLLER 50K'!$D$8:$D$38,$C167)+COUNTIF('OMAHA DEALER´S CHOICE'!$D$8:$D$30,$C167)</f>
        <v>2</v>
      </c>
      <c r="F167" s="8">
        <f>SUMIFS('200K OMAHA 5 K.O'!$C$8:$C$37,'200K OMAHA 5 K.O'!$D$8:$D$37,$C167)</f>
        <v>0</v>
      </c>
      <c r="G167" s="8">
        <f>SUMIFS(HORSE!$C$8:$C$26,HORSE!$D$8:$D$26,$C167)</f>
        <v>0</v>
      </c>
      <c r="H167" s="8">
        <f>SUMIFS('SUPER K.O'!$C$8:$C$41,'SUPER K.O'!$D$8:$D$41,$C167)</f>
        <v>0</v>
      </c>
      <c r="I167" s="8">
        <f>SUMIFS('8 GAME'!$C$8:$C$21,'8 GAME'!$D$8:$D$21,$C167)</f>
        <v>0</v>
      </c>
      <c r="J167" s="8">
        <f>SUMIFS('100K OMAHA MYSTERY BOUNTY'!$C$8:$C$32,'100K OMAHA MYSTERY BOUNTY'!$D$8:$D$32,$C167)</f>
        <v>0</v>
      </c>
      <c r="K167" s="8">
        <f>SUMIFS('CHAMPIONSHIP HIGH ROLLER 200K'!$C$8:$C$72,'CHAMPIONSHIP HIGH ROLLER 200K'!$D$8:$D$72,$C167)</f>
        <v>0</v>
      </c>
      <c r="L167" s="8">
        <f>SUMIFS('PLO-NLH DEALER´S CHOICE PIJAMA'!$C$8:$C$27,'PLO-NLH DEALER´S CHOICE PIJAMA'!$D$8:$D$27,$C167)</f>
        <v>0</v>
      </c>
      <c r="M167" s="8">
        <f>SUMIFS('Main Event SPT - Dia Final'!$C$8:$C$221,'Main Event SPT - Dia Final'!$D$8:$D$221,$C167)</f>
        <v>10</v>
      </c>
      <c r="N167" s="8">
        <f>SUMIFS('SECOND CHANCE'!$C$8:$C$86,'SECOND CHANCE'!$D$8:$D$86,$C167)</f>
        <v>10</v>
      </c>
      <c r="O167" s="8">
        <f>SUMIFS('HIGH ROLLER 50K'!$C$8:$C$38,'HIGH ROLLER 50K'!$D$8:$D$38,$C167)</f>
        <v>0</v>
      </c>
      <c r="P167" s="8">
        <f>SUMIFS('OMAHA DEALER´S CHOICE'!$C$8:$C$30,'OMAHA DEALER´S CHOICE'!$D$8:$D$30,$C167)</f>
        <v>0</v>
      </c>
    </row>
    <row r="168" spans="1:16">
      <c r="A168" s="4">
        <f t="shared" si="4"/>
        <v>140</v>
      </c>
      <c r="B168" s="5" t="s">
        <v>441</v>
      </c>
      <c r="C168" s="6" t="s">
        <v>442</v>
      </c>
      <c r="D168" s="7">
        <f t="shared" si="5"/>
        <v>20</v>
      </c>
      <c r="E168" s="4">
        <f>COUNTIF('200K OMAHA 5 K.O'!$D$8:$D$37,$C168)+COUNTIF(HORSE!$D$8:$D$26,$C168)+COUNTIF('SUPER K.O'!$D$8:$D$41,$C168)+COUNTIF('8 GAME'!$D$8:$D$21,$C168)+COUNTIF('100K OMAHA MYSTERY BOUNTY'!$D$8:$D$32,$C168)+COUNTIF('CHAMPIONSHIP HIGH ROLLER 200K'!$D$8:$D$72,$C168)+COUNTIF('PLO-NLH DEALER´S CHOICE PIJAMA'!$D$8:$D$27,$C168)+COUNTIF('Main Event SPT - Dia Final'!$D$8:$D$221,$C168)+COUNTIF('SECOND CHANCE'!$D$8:$D$86,$C168)+COUNTIF('HIGH ROLLER 50K'!$D$8:$D$38,$C168)+COUNTIF('OMAHA DEALER´S CHOICE'!$D$8:$D$30,$C168)</f>
        <v>2</v>
      </c>
      <c r="F168" s="8">
        <f>SUMIFS('200K OMAHA 5 K.O'!$C$8:$C$37,'200K OMAHA 5 K.O'!$D$8:$D$37,$C168)</f>
        <v>0</v>
      </c>
      <c r="G168" s="8">
        <f>SUMIFS(HORSE!$C$8:$C$26,HORSE!$D$8:$D$26,$C168)</f>
        <v>0</v>
      </c>
      <c r="H168" s="8">
        <f>SUMIFS('SUPER K.O'!$C$8:$C$41,'SUPER K.O'!$D$8:$D$41,$C168)</f>
        <v>0</v>
      </c>
      <c r="I168" s="8">
        <f>SUMIFS('8 GAME'!$C$8:$C$21,'8 GAME'!$D$8:$D$21,$C168)</f>
        <v>0</v>
      </c>
      <c r="J168" s="8">
        <f>SUMIFS('100K OMAHA MYSTERY BOUNTY'!$C$8:$C$32,'100K OMAHA MYSTERY BOUNTY'!$D$8:$D$32,$C168)</f>
        <v>0</v>
      </c>
      <c r="K168" s="8">
        <f>SUMIFS('CHAMPIONSHIP HIGH ROLLER 200K'!$C$8:$C$72,'CHAMPIONSHIP HIGH ROLLER 200K'!$D$8:$D$72,$C168)</f>
        <v>0</v>
      </c>
      <c r="L168" s="8">
        <f>SUMIFS('PLO-NLH DEALER´S CHOICE PIJAMA'!$C$8:$C$27,'PLO-NLH DEALER´S CHOICE PIJAMA'!$D$8:$D$27,$C168)</f>
        <v>0</v>
      </c>
      <c r="M168" s="8">
        <f>SUMIFS('Main Event SPT - Dia Final'!$C$8:$C$221,'Main Event SPT - Dia Final'!$D$8:$D$221,$C168)</f>
        <v>10</v>
      </c>
      <c r="N168" s="8">
        <f>SUMIFS('SECOND CHANCE'!$C$8:$C$86,'SECOND CHANCE'!$D$8:$D$86,$C168)</f>
        <v>10</v>
      </c>
      <c r="O168" s="8">
        <f>SUMIFS('HIGH ROLLER 50K'!$C$8:$C$38,'HIGH ROLLER 50K'!$D$8:$D$38,$C168)</f>
        <v>0</v>
      </c>
      <c r="P168" s="8">
        <f>SUMIFS('OMAHA DEALER´S CHOICE'!$C$8:$C$30,'OMAHA DEALER´S CHOICE'!$D$8:$D$30,$C168)</f>
        <v>0</v>
      </c>
    </row>
    <row r="169" spans="1:16">
      <c r="A169" s="4">
        <f t="shared" si="4"/>
        <v>140</v>
      </c>
      <c r="B169" s="5" t="s">
        <v>471</v>
      </c>
      <c r="C169" s="6" t="s">
        <v>472</v>
      </c>
      <c r="D169" s="7">
        <f t="shared" si="5"/>
        <v>20</v>
      </c>
      <c r="E169" s="4">
        <f>COUNTIF('200K OMAHA 5 K.O'!$D$8:$D$37,$C169)+COUNTIF(HORSE!$D$8:$D$26,$C169)+COUNTIF('SUPER K.O'!$D$8:$D$41,$C169)+COUNTIF('8 GAME'!$D$8:$D$21,$C169)+COUNTIF('100K OMAHA MYSTERY BOUNTY'!$D$8:$D$32,$C169)+COUNTIF('CHAMPIONSHIP HIGH ROLLER 200K'!$D$8:$D$72,$C169)+COUNTIF('PLO-NLH DEALER´S CHOICE PIJAMA'!$D$8:$D$27,$C169)+COUNTIF('Main Event SPT - Dia Final'!$D$8:$D$221,$C169)+COUNTIF('SECOND CHANCE'!$D$8:$D$86,$C169)+COUNTIF('HIGH ROLLER 50K'!$D$8:$D$38,$C169)+COUNTIF('OMAHA DEALER´S CHOICE'!$D$8:$D$30,$C169)</f>
        <v>2</v>
      </c>
      <c r="F169" s="8">
        <f>SUMIFS('200K OMAHA 5 K.O'!$C$8:$C$37,'200K OMAHA 5 K.O'!$D$8:$D$37,$C169)</f>
        <v>0</v>
      </c>
      <c r="G169" s="8">
        <f>SUMIFS(HORSE!$C$8:$C$26,HORSE!$D$8:$D$26,$C169)</f>
        <v>0</v>
      </c>
      <c r="H169" s="8">
        <f>SUMIFS('SUPER K.O'!$C$8:$C$41,'SUPER K.O'!$D$8:$D$41,$C169)</f>
        <v>0</v>
      </c>
      <c r="I169" s="8">
        <f>SUMIFS('8 GAME'!$C$8:$C$21,'8 GAME'!$D$8:$D$21,$C169)</f>
        <v>0</v>
      </c>
      <c r="J169" s="8">
        <f>SUMIFS('100K OMAHA MYSTERY BOUNTY'!$C$8:$C$32,'100K OMAHA MYSTERY BOUNTY'!$D$8:$D$32,$C169)</f>
        <v>0</v>
      </c>
      <c r="K169" s="8">
        <f>SUMIFS('CHAMPIONSHIP HIGH ROLLER 200K'!$C$8:$C$72,'CHAMPIONSHIP HIGH ROLLER 200K'!$D$8:$D$72,$C169)</f>
        <v>0</v>
      </c>
      <c r="L169" s="8">
        <f>SUMIFS('PLO-NLH DEALER´S CHOICE PIJAMA'!$C$8:$C$27,'PLO-NLH DEALER´S CHOICE PIJAMA'!$D$8:$D$27,$C169)</f>
        <v>0</v>
      </c>
      <c r="M169" s="8">
        <f>SUMIFS('Main Event SPT - Dia Final'!$C$8:$C$221,'Main Event SPT - Dia Final'!$D$8:$D$221,$C169)</f>
        <v>10</v>
      </c>
      <c r="N169" s="8">
        <f>SUMIFS('SECOND CHANCE'!$C$8:$C$86,'SECOND CHANCE'!$D$8:$D$86,$C169)</f>
        <v>10</v>
      </c>
      <c r="O169" s="8">
        <f>SUMIFS('HIGH ROLLER 50K'!$C$8:$C$38,'HIGH ROLLER 50K'!$D$8:$D$38,$C169)</f>
        <v>0</v>
      </c>
      <c r="P169" s="8">
        <f>SUMIFS('OMAHA DEALER´S CHOICE'!$C$8:$C$30,'OMAHA DEALER´S CHOICE'!$D$8:$D$30,$C169)</f>
        <v>0</v>
      </c>
    </row>
    <row r="170" spans="1:16">
      <c r="A170" s="4">
        <f t="shared" si="4"/>
        <v>140</v>
      </c>
      <c r="B170" s="5" t="s">
        <v>425</v>
      </c>
      <c r="C170" s="6" t="s">
        <v>426</v>
      </c>
      <c r="D170" s="7">
        <f t="shared" si="5"/>
        <v>20</v>
      </c>
      <c r="E170" s="4">
        <f>COUNTIF('200K OMAHA 5 K.O'!$D$8:$D$37,$C170)+COUNTIF(HORSE!$D$8:$D$26,$C170)+COUNTIF('SUPER K.O'!$D$8:$D$41,$C170)+COUNTIF('8 GAME'!$D$8:$D$21,$C170)+COUNTIF('100K OMAHA MYSTERY BOUNTY'!$D$8:$D$32,$C170)+COUNTIF('CHAMPIONSHIP HIGH ROLLER 200K'!$D$8:$D$72,$C170)+COUNTIF('PLO-NLH DEALER´S CHOICE PIJAMA'!$D$8:$D$27,$C170)+COUNTIF('Main Event SPT - Dia Final'!$D$8:$D$221,$C170)+COUNTIF('SECOND CHANCE'!$D$8:$D$86,$C170)+COUNTIF('HIGH ROLLER 50K'!$D$8:$D$38,$C170)+COUNTIF('OMAHA DEALER´S CHOICE'!$D$8:$D$30,$C170)</f>
        <v>2</v>
      </c>
      <c r="F170" s="8">
        <f>SUMIFS('200K OMAHA 5 K.O'!$C$8:$C$37,'200K OMAHA 5 K.O'!$D$8:$D$37,$C170)</f>
        <v>0</v>
      </c>
      <c r="G170" s="8">
        <f>SUMIFS(HORSE!$C$8:$C$26,HORSE!$D$8:$D$26,$C170)</f>
        <v>0</v>
      </c>
      <c r="H170" s="8">
        <f>SUMIFS('SUPER K.O'!$C$8:$C$41,'SUPER K.O'!$D$8:$D$41,$C170)</f>
        <v>0</v>
      </c>
      <c r="I170" s="8">
        <f>SUMIFS('8 GAME'!$C$8:$C$21,'8 GAME'!$D$8:$D$21,$C170)</f>
        <v>0</v>
      </c>
      <c r="J170" s="8">
        <f>SUMIFS('100K OMAHA MYSTERY BOUNTY'!$C$8:$C$32,'100K OMAHA MYSTERY BOUNTY'!$D$8:$D$32,$C170)</f>
        <v>0</v>
      </c>
      <c r="K170" s="8">
        <f>SUMIFS('CHAMPIONSHIP HIGH ROLLER 200K'!$C$8:$C$72,'CHAMPIONSHIP HIGH ROLLER 200K'!$D$8:$D$72,$C170)</f>
        <v>0</v>
      </c>
      <c r="L170" s="8">
        <f>SUMIFS('PLO-NLH DEALER´S CHOICE PIJAMA'!$C$8:$C$27,'PLO-NLH DEALER´S CHOICE PIJAMA'!$D$8:$D$27,$C170)</f>
        <v>0</v>
      </c>
      <c r="M170" s="8">
        <f>SUMIFS('Main Event SPT - Dia Final'!$C$8:$C$221,'Main Event SPT - Dia Final'!$D$8:$D$221,$C170)</f>
        <v>10</v>
      </c>
      <c r="N170" s="8">
        <f>SUMIFS('SECOND CHANCE'!$C$8:$C$86,'SECOND CHANCE'!$D$8:$D$86,$C170)</f>
        <v>10</v>
      </c>
      <c r="O170" s="8">
        <f>SUMIFS('HIGH ROLLER 50K'!$C$8:$C$38,'HIGH ROLLER 50K'!$D$8:$D$38,$C170)</f>
        <v>0</v>
      </c>
      <c r="P170" s="8">
        <f>SUMIFS('OMAHA DEALER´S CHOICE'!$C$8:$C$30,'OMAHA DEALER´S CHOICE'!$D$8:$D$30,$C170)</f>
        <v>0</v>
      </c>
    </row>
    <row r="171" spans="1:16">
      <c r="A171" s="4">
        <f t="shared" si="4"/>
        <v>140</v>
      </c>
      <c r="B171" s="5" t="s">
        <v>415</v>
      </c>
      <c r="C171" s="6" t="s">
        <v>416</v>
      </c>
      <c r="D171" s="7">
        <f t="shared" si="5"/>
        <v>20</v>
      </c>
      <c r="E171" s="4">
        <f>COUNTIF('200K OMAHA 5 K.O'!$D$8:$D$37,$C171)+COUNTIF(HORSE!$D$8:$D$26,$C171)+COUNTIF('SUPER K.O'!$D$8:$D$41,$C171)+COUNTIF('8 GAME'!$D$8:$D$21,$C171)+COUNTIF('100K OMAHA MYSTERY BOUNTY'!$D$8:$D$32,$C171)+COUNTIF('CHAMPIONSHIP HIGH ROLLER 200K'!$D$8:$D$72,$C171)+COUNTIF('PLO-NLH DEALER´S CHOICE PIJAMA'!$D$8:$D$27,$C171)+COUNTIF('Main Event SPT - Dia Final'!$D$8:$D$221,$C171)+COUNTIF('SECOND CHANCE'!$D$8:$D$86,$C171)+COUNTIF('HIGH ROLLER 50K'!$D$8:$D$38,$C171)+COUNTIF('OMAHA DEALER´S CHOICE'!$D$8:$D$30,$C171)</f>
        <v>2</v>
      </c>
      <c r="F171" s="8">
        <f>SUMIFS('200K OMAHA 5 K.O'!$C$8:$C$37,'200K OMAHA 5 K.O'!$D$8:$D$37,$C171)</f>
        <v>0</v>
      </c>
      <c r="G171" s="8">
        <f>SUMIFS(HORSE!$C$8:$C$26,HORSE!$D$8:$D$26,$C171)</f>
        <v>0</v>
      </c>
      <c r="H171" s="8">
        <f>SUMIFS('SUPER K.O'!$C$8:$C$41,'SUPER K.O'!$D$8:$D$41,$C171)</f>
        <v>0</v>
      </c>
      <c r="I171" s="8">
        <f>SUMIFS('8 GAME'!$C$8:$C$21,'8 GAME'!$D$8:$D$21,$C171)</f>
        <v>0</v>
      </c>
      <c r="J171" s="8">
        <f>SUMIFS('100K OMAHA MYSTERY BOUNTY'!$C$8:$C$32,'100K OMAHA MYSTERY BOUNTY'!$D$8:$D$32,$C171)</f>
        <v>0</v>
      </c>
      <c r="K171" s="8">
        <f>SUMIFS('CHAMPIONSHIP HIGH ROLLER 200K'!$C$8:$C$72,'CHAMPIONSHIP HIGH ROLLER 200K'!$D$8:$D$72,$C171)</f>
        <v>0</v>
      </c>
      <c r="L171" s="8">
        <f>SUMIFS('PLO-NLH DEALER´S CHOICE PIJAMA'!$C$8:$C$27,'PLO-NLH DEALER´S CHOICE PIJAMA'!$D$8:$D$27,$C171)</f>
        <v>0</v>
      </c>
      <c r="M171" s="8">
        <f>SUMIFS('Main Event SPT - Dia Final'!$C$8:$C$221,'Main Event SPT - Dia Final'!$D$8:$D$221,$C171)</f>
        <v>10</v>
      </c>
      <c r="N171" s="8">
        <f>SUMIFS('SECOND CHANCE'!$C$8:$C$86,'SECOND CHANCE'!$D$8:$D$86,$C171)</f>
        <v>10</v>
      </c>
      <c r="O171" s="8">
        <f>SUMIFS('HIGH ROLLER 50K'!$C$8:$C$38,'HIGH ROLLER 50K'!$D$8:$D$38,$C171)</f>
        <v>0</v>
      </c>
      <c r="P171" s="8">
        <f>SUMIFS('OMAHA DEALER´S CHOICE'!$C$8:$C$30,'OMAHA DEALER´S CHOICE'!$D$8:$D$30,$C171)</f>
        <v>0</v>
      </c>
    </row>
    <row r="172" spans="1:16">
      <c r="A172" s="4">
        <f t="shared" si="4"/>
        <v>140</v>
      </c>
      <c r="B172" s="5" t="s">
        <v>419</v>
      </c>
      <c r="C172" s="6" t="s">
        <v>420</v>
      </c>
      <c r="D172" s="7">
        <f t="shared" si="5"/>
        <v>20</v>
      </c>
      <c r="E172" s="4">
        <f>COUNTIF('200K OMAHA 5 K.O'!$D$8:$D$37,$C172)+COUNTIF(HORSE!$D$8:$D$26,$C172)+COUNTIF('SUPER K.O'!$D$8:$D$41,$C172)+COUNTIF('8 GAME'!$D$8:$D$21,$C172)+COUNTIF('100K OMAHA MYSTERY BOUNTY'!$D$8:$D$32,$C172)+COUNTIF('CHAMPIONSHIP HIGH ROLLER 200K'!$D$8:$D$72,$C172)+COUNTIF('PLO-NLH DEALER´S CHOICE PIJAMA'!$D$8:$D$27,$C172)+COUNTIF('Main Event SPT - Dia Final'!$D$8:$D$221,$C172)+COUNTIF('SECOND CHANCE'!$D$8:$D$86,$C172)+COUNTIF('HIGH ROLLER 50K'!$D$8:$D$38,$C172)+COUNTIF('OMAHA DEALER´S CHOICE'!$D$8:$D$30,$C172)</f>
        <v>2</v>
      </c>
      <c r="F172" s="8">
        <f>SUMIFS('200K OMAHA 5 K.O'!$C$8:$C$37,'200K OMAHA 5 K.O'!$D$8:$D$37,$C172)</f>
        <v>0</v>
      </c>
      <c r="G172" s="8">
        <f>SUMIFS(HORSE!$C$8:$C$26,HORSE!$D$8:$D$26,$C172)</f>
        <v>0</v>
      </c>
      <c r="H172" s="8">
        <f>SUMIFS('SUPER K.O'!$C$8:$C$41,'SUPER K.O'!$D$8:$D$41,$C172)</f>
        <v>0</v>
      </c>
      <c r="I172" s="8">
        <f>SUMIFS('8 GAME'!$C$8:$C$21,'8 GAME'!$D$8:$D$21,$C172)</f>
        <v>0</v>
      </c>
      <c r="J172" s="8">
        <f>SUMIFS('100K OMAHA MYSTERY BOUNTY'!$C$8:$C$32,'100K OMAHA MYSTERY BOUNTY'!$D$8:$D$32,$C172)</f>
        <v>0</v>
      </c>
      <c r="K172" s="8">
        <f>SUMIFS('CHAMPIONSHIP HIGH ROLLER 200K'!$C$8:$C$72,'CHAMPIONSHIP HIGH ROLLER 200K'!$D$8:$D$72,$C172)</f>
        <v>0</v>
      </c>
      <c r="L172" s="8">
        <f>SUMIFS('PLO-NLH DEALER´S CHOICE PIJAMA'!$C$8:$C$27,'PLO-NLH DEALER´S CHOICE PIJAMA'!$D$8:$D$27,$C172)</f>
        <v>0</v>
      </c>
      <c r="M172" s="8">
        <f>SUMIFS('Main Event SPT - Dia Final'!$C$8:$C$221,'Main Event SPT - Dia Final'!$D$8:$D$221,$C172)</f>
        <v>10</v>
      </c>
      <c r="N172" s="8">
        <f>SUMIFS('SECOND CHANCE'!$C$8:$C$86,'SECOND CHANCE'!$D$8:$D$86,$C172)</f>
        <v>10</v>
      </c>
      <c r="O172" s="8">
        <f>SUMIFS('HIGH ROLLER 50K'!$C$8:$C$38,'HIGH ROLLER 50K'!$D$8:$D$38,$C172)</f>
        <v>0</v>
      </c>
      <c r="P172" s="8">
        <f>SUMIFS('OMAHA DEALER´S CHOICE'!$C$8:$C$30,'OMAHA DEALER´S CHOICE'!$D$8:$D$30,$C172)</f>
        <v>0</v>
      </c>
    </row>
    <row r="173" spans="1:16">
      <c r="A173" s="4">
        <f t="shared" si="4"/>
        <v>140</v>
      </c>
      <c r="B173" s="5" t="s">
        <v>479</v>
      </c>
      <c r="C173" s="6" t="s">
        <v>480</v>
      </c>
      <c r="D173" s="7">
        <f t="shared" si="5"/>
        <v>20</v>
      </c>
      <c r="E173" s="4">
        <f>COUNTIF('200K OMAHA 5 K.O'!$D$8:$D$37,$C173)+COUNTIF(HORSE!$D$8:$D$26,$C173)+COUNTIF('SUPER K.O'!$D$8:$D$41,$C173)+COUNTIF('8 GAME'!$D$8:$D$21,$C173)+COUNTIF('100K OMAHA MYSTERY BOUNTY'!$D$8:$D$32,$C173)+COUNTIF('CHAMPIONSHIP HIGH ROLLER 200K'!$D$8:$D$72,$C173)+COUNTIF('PLO-NLH DEALER´S CHOICE PIJAMA'!$D$8:$D$27,$C173)+COUNTIF('Main Event SPT - Dia Final'!$D$8:$D$221,$C173)+COUNTIF('SECOND CHANCE'!$D$8:$D$86,$C173)+COUNTIF('HIGH ROLLER 50K'!$D$8:$D$38,$C173)+COUNTIF('OMAHA DEALER´S CHOICE'!$D$8:$D$30,$C173)</f>
        <v>2</v>
      </c>
      <c r="F173" s="8">
        <f>SUMIFS('200K OMAHA 5 K.O'!$C$8:$C$37,'200K OMAHA 5 K.O'!$D$8:$D$37,$C173)</f>
        <v>0</v>
      </c>
      <c r="G173" s="8">
        <f>SUMIFS(HORSE!$C$8:$C$26,HORSE!$D$8:$D$26,$C173)</f>
        <v>0</v>
      </c>
      <c r="H173" s="8">
        <f>SUMIFS('SUPER K.O'!$C$8:$C$41,'SUPER K.O'!$D$8:$D$41,$C173)</f>
        <v>0</v>
      </c>
      <c r="I173" s="8">
        <f>SUMIFS('8 GAME'!$C$8:$C$21,'8 GAME'!$D$8:$D$21,$C173)</f>
        <v>0</v>
      </c>
      <c r="J173" s="8">
        <f>SUMIFS('100K OMAHA MYSTERY BOUNTY'!$C$8:$C$32,'100K OMAHA MYSTERY BOUNTY'!$D$8:$D$32,$C173)</f>
        <v>0</v>
      </c>
      <c r="K173" s="8">
        <f>SUMIFS('CHAMPIONSHIP HIGH ROLLER 200K'!$C$8:$C$72,'CHAMPIONSHIP HIGH ROLLER 200K'!$D$8:$D$72,$C173)</f>
        <v>0</v>
      </c>
      <c r="L173" s="8">
        <f>SUMIFS('PLO-NLH DEALER´S CHOICE PIJAMA'!$C$8:$C$27,'PLO-NLH DEALER´S CHOICE PIJAMA'!$D$8:$D$27,$C173)</f>
        <v>0</v>
      </c>
      <c r="M173" s="8">
        <f>SUMIFS('Main Event SPT - Dia Final'!$C$8:$C$221,'Main Event SPT - Dia Final'!$D$8:$D$221,$C173)</f>
        <v>10</v>
      </c>
      <c r="N173" s="8">
        <f>SUMIFS('SECOND CHANCE'!$C$8:$C$86,'SECOND CHANCE'!$D$8:$D$86,$C173)</f>
        <v>10</v>
      </c>
      <c r="O173" s="8">
        <f>SUMIFS('HIGH ROLLER 50K'!$C$8:$C$38,'HIGH ROLLER 50K'!$D$8:$D$38,$C173)</f>
        <v>0</v>
      </c>
      <c r="P173" s="8">
        <f>SUMIFS('OMAHA DEALER´S CHOICE'!$C$8:$C$30,'OMAHA DEALER´S CHOICE'!$D$8:$D$30,$C173)</f>
        <v>0</v>
      </c>
    </row>
    <row r="174" spans="1:16">
      <c r="A174" s="4">
        <f t="shared" si="4"/>
        <v>140</v>
      </c>
      <c r="B174" s="5" t="s">
        <v>463</v>
      </c>
      <c r="C174" s="6" t="s">
        <v>464</v>
      </c>
      <c r="D174" s="7">
        <f t="shared" si="5"/>
        <v>20</v>
      </c>
      <c r="E174" s="4">
        <f>COUNTIF('200K OMAHA 5 K.O'!$D$8:$D$37,$C174)+COUNTIF(HORSE!$D$8:$D$26,$C174)+COUNTIF('SUPER K.O'!$D$8:$D$41,$C174)+COUNTIF('8 GAME'!$D$8:$D$21,$C174)+COUNTIF('100K OMAHA MYSTERY BOUNTY'!$D$8:$D$32,$C174)+COUNTIF('CHAMPIONSHIP HIGH ROLLER 200K'!$D$8:$D$72,$C174)+COUNTIF('PLO-NLH DEALER´S CHOICE PIJAMA'!$D$8:$D$27,$C174)+COUNTIF('Main Event SPT - Dia Final'!$D$8:$D$221,$C174)+COUNTIF('SECOND CHANCE'!$D$8:$D$86,$C174)+COUNTIF('HIGH ROLLER 50K'!$D$8:$D$38,$C174)+COUNTIF('OMAHA DEALER´S CHOICE'!$D$8:$D$30,$C174)</f>
        <v>2</v>
      </c>
      <c r="F174" s="8">
        <f>SUMIFS('200K OMAHA 5 K.O'!$C$8:$C$37,'200K OMAHA 5 K.O'!$D$8:$D$37,$C174)</f>
        <v>0</v>
      </c>
      <c r="G174" s="8">
        <f>SUMIFS(HORSE!$C$8:$C$26,HORSE!$D$8:$D$26,$C174)</f>
        <v>0</v>
      </c>
      <c r="H174" s="8">
        <f>SUMIFS('SUPER K.O'!$C$8:$C$41,'SUPER K.O'!$D$8:$D$41,$C174)</f>
        <v>0</v>
      </c>
      <c r="I174" s="8">
        <f>SUMIFS('8 GAME'!$C$8:$C$21,'8 GAME'!$D$8:$D$21,$C174)</f>
        <v>0</v>
      </c>
      <c r="J174" s="8">
        <f>SUMIFS('100K OMAHA MYSTERY BOUNTY'!$C$8:$C$32,'100K OMAHA MYSTERY BOUNTY'!$D$8:$D$32,$C174)</f>
        <v>0</v>
      </c>
      <c r="K174" s="8">
        <f>SUMIFS('CHAMPIONSHIP HIGH ROLLER 200K'!$C$8:$C$72,'CHAMPIONSHIP HIGH ROLLER 200K'!$D$8:$D$72,$C174)</f>
        <v>0</v>
      </c>
      <c r="L174" s="8">
        <f>SUMIFS('PLO-NLH DEALER´S CHOICE PIJAMA'!$C$8:$C$27,'PLO-NLH DEALER´S CHOICE PIJAMA'!$D$8:$D$27,$C174)</f>
        <v>0</v>
      </c>
      <c r="M174" s="8">
        <f>SUMIFS('Main Event SPT - Dia Final'!$C$8:$C$221,'Main Event SPT - Dia Final'!$D$8:$D$221,$C174)</f>
        <v>10</v>
      </c>
      <c r="N174" s="8">
        <f>SUMIFS('SECOND CHANCE'!$C$8:$C$86,'SECOND CHANCE'!$D$8:$D$86,$C174)</f>
        <v>10</v>
      </c>
      <c r="O174" s="8">
        <f>SUMIFS('HIGH ROLLER 50K'!$C$8:$C$38,'HIGH ROLLER 50K'!$D$8:$D$38,$C174)</f>
        <v>0</v>
      </c>
      <c r="P174" s="8">
        <f>SUMIFS('OMAHA DEALER´S CHOICE'!$C$8:$C$30,'OMAHA DEALER´S CHOICE'!$D$8:$D$30,$C174)</f>
        <v>0</v>
      </c>
    </row>
    <row r="175" spans="1:16">
      <c r="A175" s="4">
        <f t="shared" si="4"/>
        <v>140</v>
      </c>
      <c r="B175" s="5" t="s">
        <v>405</v>
      </c>
      <c r="C175" s="6" t="s">
        <v>406</v>
      </c>
      <c r="D175" s="7">
        <f t="shared" si="5"/>
        <v>20</v>
      </c>
      <c r="E175" s="4">
        <f>COUNTIF('200K OMAHA 5 K.O'!$D$8:$D$37,$C175)+COUNTIF(HORSE!$D$8:$D$26,$C175)+COUNTIF('SUPER K.O'!$D$8:$D$41,$C175)+COUNTIF('8 GAME'!$D$8:$D$21,$C175)+COUNTIF('100K OMAHA MYSTERY BOUNTY'!$D$8:$D$32,$C175)+COUNTIF('CHAMPIONSHIP HIGH ROLLER 200K'!$D$8:$D$72,$C175)+COUNTIF('PLO-NLH DEALER´S CHOICE PIJAMA'!$D$8:$D$27,$C175)+COUNTIF('Main Event SPT - Dia Final'!$D$8:$D$221,$C175)+COUNTIF('SECOND CHANCE'!$D$8:$D$86,$C175)+COUNTIF('HIGH ROLLER 50K'!$D$8:$D$38,$C175)+COUNTIF('OMAHA DEALER´S CHOICE'!$D$8:$D$30,$C175)</f>
        <v>2</v>
      </c>
      <c r="F175" s="8">
        <f>SUMIFS('200K OMAHA 5 K.O'!$C$8:$C$37,'200K OMAHA 5 K.O'!$D$8:$D$37,$C175)</f>
        <v>0</v>
      </c>
      <c r="G175" s="8">
        <f>SUMIFS(HORSE!$C$8:$C$26,HORSE!$D$8:$D$26,$C175)</f>
        <v>0</v>
      </c>
      <c r="H175" s="8">
        <f>SUMIFS('SUPER K.O'!$C$8:$C$41,'SUPER K.O'!$D$8:$D$41,$C175)</f>
        <v>0</v>
      </c>
      <c r="I175" s="8">
        <f>SUMIFS('8 GAME'!$C$8:$C$21,'8 GAME'!$D$8:$D$21,$C175)</f>
        <v>0</v>
      </c>
      <c r="J175" s="8">
        <f>SUMIFS('100K OMAHA MYSTERY BOUNTY'!$C$8:$C$32,'100K OMAHA MYSTERY BOUNTY'!$D$8:$D$32,$C175)</f>
        <v>0</v>
      </c>
      <c r="K175" s="8">
        <f>SUMIFS('CHAMPIONSHIP HIGH ROLLER 200K'!$C$8:$C$72,'CHAMPIONSHIP HIGH ROLLER 200K'!$D$8:$D$72,$C175)</f>
        <v>0</v>
      </c>
      <c r="L175" s="8">
        <f>SUMIFS('PLO-NLH DEALER´S CHOICE PIJAMA'!$C$8:$C$27,'PLO-NLH DEALER´S CHOICE PIJAMA'!$D$8:$D$27,$C175)</f>
        <v>0</v>
      </c>
      <c r="M175" s="8">
        <f>SUMIFS('Main Event SPT - Dia Final'!$C$8:$C$221,'Main Event SPT - Dia Final'!$D$8:$D$221,$C175)</f>
        <v>10</v>
      </c>
      <c r="N175" s="8">
        <f>SUMIFS('SECOND CHANCE'!$C$8:$C$86,'SECOND CHANCE'!$D$8:$D$86,$C175)</f>
        <v>10</v>
      </c>
      <c r="O175" s="8">
        <f>SUMIFS('HIGH ROLLER 50K'!$C$8:$C$38,'HIGH ROLLER 50K'!$D$8:$D$38,$C175)</f>
        <v>0</v>
      </c>
      <c r="P175" s="8">
        <f>SUMIFS('OMAHA DEALER´S CHOICE'!$C$8:$C$30,'OMAHA DEALER´S CHOICE'!$D$8:$D$30,$C175)</f>
        <v>0</v>
      </c>
    </row>
    <row r="176" spans="1:16">
      <c r="A176" s="4">
        <f t="shared" si="4"/>
        <v>140</v>
      </c>
      <c r="B176" s="5" t="s">
        <v>361</v>
      </c>
      <c r="C176" s="6" t="s">
        <v>362</v>
      </c>
      <c r="D176" s="7">
        <f t="shared" si="5"/>
        <v>20</v>
      </c>
      <c r="E176" s="4">
        <f>COUNTIF('200K OMAHA 5 K.O'!$D$8:$D$37,$C176)+COUNTIF(HORSE!$D$8:$D$26,$C176)+COUNTIF('SUPER K.O'!$D$8:$D$41,$C176)+COUNTIF('8 GAME'!$D$8:$D$21,$C176)+COUNTIF('100K OMAHA MYSTERY BOUNTY'!$D$8:$D$32,$C176)+COUNTIF('CHAMPIONSHIP HIGH ROLLER 200K'!$D$8:$D$72,$C176)+COUNTIF('PLO-NLH DEALER´S CHOICE PIJAMA'!$D$8:$D$27,$C176)+COUNTIF('Main Event SPT - Dia Final'!$D$8:$D$221,$C176)+COUNTIF('SECOND CHANCE'!$D$8:$D$86,$C176)+COUNTIF('HIGH ROLLER 50K'!$D$8:$D$38,$C176)+COUNTIF('OMAHA DEALER´S CHOICE'!$D$8:$D$30,$C176)</f>
        <v>2</v>
      </c>
      <c r="F176" s="8">
        <f>SUMIFS('200K OMAHA 5 K.O'!$C$8:$C$37,'200K OMAHA 5 K.O'!$D$8:$D$37,$C176)</f>
        <v>0</v>
      </c>
      <c r="G176" s="8">
        <f>SUMIFS(HORSE!$C$8:$C$26,HORSE!$D$8:$D$26,$C176)</f>
        <v>0</v>
      </c>
      <c r="H176" s="8">
        <f>SUMIFS('SUPER K.O'!$C$8:$C$41,'SUPER K.O'!$D$8:$D$41,$C176)</f>
        <v>0</v>
      </c>
      <c r="I176" s="8">
        <f>SUMIFS('8 GAME'!$C$8:$C$21,'8 GAME'!$D$8:$D$21,$C176)</f>
        <v>0</v>
      </c>
      <c r="J176" s="8">
        <f>SUMIFS('100K OMAHA MYSTERY BOUNTY'!$C$8:$C$32,'100K OMAHA MYSTERY BOUNTY'!$D$8:$D$32,$C176)</f>
        <v>0</v>
      </c>
      <c r="K176" s="8">
        <f>SUMIFS('CHAMPIONSHIP HIGH ROLLER 200K'!$C$8:$C$72,'CHAMPIONSHIP HIGH ROLLER 200K'!$D$8:$D$72,$C176)</f>
        <v>0</v>
      </c>
      <c r="L176" s="8">
        <f>SUMIFS('PLO-NLH DEALER´S CHOICE PIJAMA'!$C$8:$C$27,'PLO-NLH DEALER´S CHOICE PIJAMA'!$D$8:$D$27,$C176)</f>
        <v>0</v>
      </c>
      <c r="M176" s="8">
        <f>SUMIFS('Main Event SPT - Dia Final'!$C$8:$C$221,'Main Event SPT - Dia Final'!$D$8:$D$221,$C176)</f>
        <v>10</v>
      </c>
      <c r="N176" s="8">
        <f>SUMIFS('SECOND CHANCE'!$C$8:$C$86,'SECOND CHANCE'!$D$8:$D$86,$C176)</f>
        <v>10</v>
      </c>
      <c r="O176" s="8">
        <f>SUMIFS('HIGH ROLLER 50K'!$C$8:$C$38,'HIGH ROLLER 50K'!$D$8:$D$38,$C176)</f>
        <v>0</v>
      </c>
      <c r="P176" s="8">
        <f>SUMIFS('OMAHA DEALER´S CHOICE'!$C$8:$C$30,'OMAHA DEALER´S CHOICE'!$D$8:$D$30,$C176)</f>
        <v>0</v>
      </c>
    </row>
    <row r="177" spans="1:16">
      <c r="A177" s="4">
        <f t="shared" si="4"/>
        <v>173</v>
      </c>
      <c r="B177" s="5" t="s">
        <v>166</v>
      </c>
      <c r="C177" s="6" t="s">
        <v>167</v>
      </c>
      <c r="D177" s="7">
        <f t="shared" si="5"/>
        <v>10</v>
      </c>
      <c r="E177" s="4">
        <f>COUNTIF('200K OMAHA 5 K.O'!$D$8:$D$37,$C177)+COUNTIF(HORSE!$D$8:$D$26,$C177)+COUNTIF('SUPER K.O'!$D$8:$D$41,$C177)+COUNTIF('8 GAME'!$D$8:$D$21,$C177)+COUNTIF('100K OMAHA MYSTERY BOUNTY'!$D$8:$D$32,$C177)+COUNTIF('CHAMPIONSHIP HIGH ROLLER 200K'!$D$8:$D$72,$C177)+COUNTIF('PLO-NLH DEALER´S CHOICE PIJAMA'!$D$8:$D$27,$C177)+COUNTIF('Main Event SPT - Dia Final'!$D$8:$D$221,$C177)+COUNTIF('SECOND CHANCE'!$D$8:$D$86,$C177)+COUNTIF('HIGH ROLLER 50K'!$D$8:$D$38,$C177)+COUNTIF('OMAHA DEALER´S CHOICE'!$D$8:$D$30,$C177)</f>
        <v>1</v>
      </c>
      <c r="F177" s="8">
        <f>SUMIFS('200K OMAHA 5 K.O'!$C$8:$C$37,'200K OMAHA 5 K.O'!$D$8:$D$37,$C177)</f>
        <v>0</v>
      </c>
      <c r="G177" s="8">
        <f>SUMIFS(HORSE!$C$8:$C$26,HORSE!$D$8:$D$26,$C177)</f>
        <v>0</v>
      </c>
      <c r="H177" s="8">
        <f>SUMIFS('SUPER K.O'!$C$8:$C$41,'SUPER K.O'!$D$8:$D$41,$C177)</f>
        <v>0</v>
      </c>
      <c r="I177" s="8">
        <f>SUMIFS('8 GAME'!$C$8:$C$21,'8 GAME'!$D$8:$D$21,$C177)</f>
        <v>10</v>
      </c>
      <c r="J177" s="8">
        <f>SUMIFS('100K OMAHA MYSTERY BOUNTY'!$C$8:$C$32,'100K OMAHA MYSTERY BOUNTY'!$D$8:$D$32,$C177)</f>
        <v>0</v>
      </c>
      <c r="K177" s="8">
        <f>SUMIFS('CHAMPIONSHIP HIGH ROLLER 200K'!$C$8:$C$72,'CHAMPIONSHIP HIGH ROLLER 200K'!$D$8:$D$72,$C177)</f>
        <v>0</v>
      </c>
      <c r="L177" s="8">
        <f>SUMIFS('PLO-NLH DEALER´S CHOICE PIJAMA'!$C$8:$C$27,'PLO-NLH DEALER´S CHOICE PIJAMA'!$D$8:$D$27,$C177)</f>
        <v>0</v>
      </c>
      <c r="M177" s="8">
        <f>SUMIFS('Main Event SPT - Dia Final'!$C$8:$C$221,'Main Event SPT - Dia Final'!$D$8:$D$221,$C177)</f>
        <v>0</v>
      </c>
      <c r="N177" s="8">
        <f>SUMIFS('SECOND CHANCE'!$C$8:$C$86,'SECOND CHANCE'!$D$8:$D$86,$C177)</f>
        <v>0</v>
      </c>
      <c r="O177" s="8">
        <f>SUMIFS('HIGH ROLLER 50K'!$C$8:$C$38,'HIGH ROLLER 50K'!$D$8:$D$38,$C177)</f>
        <v>0</v>
      </c>
      <c r="P177" s="8">
        <f>SUMIFS('OMAHA DEALER´S CHOICE'!$C$8:$C$30,'OMAHA DEALER´S CHOICE'!$D$8:$D$30,$C177)</f>
        <v>0</v>
      </c>
    </row>
    <row r="178" spans="1:16">
      <c r="A178" s="4">
        <f t="shared" si="4"/>
        <v>173</v>
      </c>
      <c r="B178" s="5" t="s">
        <v>178</v>
      </c>
      <c r="C178" s="6" t="s">
        <v>179</v>
      </c>
      <c r="D178" s="7">
        <f t="shared" si="5"/>
        <v>10</v>
      </c>
      <c r="E178" s="4">
        <f>COUNTIF('200K OMAHA 5 K.O'!$D$8:$D$37,$C178)+COUNTIF(HORSE!$D$8:$D$26,$C178)+COUNTIF('SUPER K.O'!$D$8:$D$41,$C178)+COUNTIF('8 GAME'!$D$8:$D$21,$C178)+COUNTIF('100K OMAHA MYSTERY BOUNTY'!$D$8:$D$32,$C178)+COUNTIF('CHAMPIONSHIP HIGH ROLLER 200K'!$D$8:$D$72,$C178)+COUNTIF('PLO-NLH DEALER´S CHOICE PIJAMA'!$D$8:$D$27,$C178)+COUNTIF('Main Event SPT - Dia Final'!$D$8:$D$221,$C178)+COUNTIF('SECOND CHANCE'!$D$8:$D$86,$C178)+COUNTIF('HIGH ROLLER 50K'!$D$8:$D$38,$C178)+COUNTIF('OMAHA DEALER´S CHOICE'!$D$8:$D$30,$C178)</f>
        <v>1</v>
      </c>
      <c r="F178" s="8">
        <f>SUMIFS('200K OMAHA 5 K.O'!$C$8:$C$37,'200K OMAHA 5 K.O'!$D$8:$D$37,$C178)</f>
        <v>0</v>
      </c>
      <c r="G178" s="8">
        <f>SUMIFS(HORSE!$C$8:$C$26,HORSE!$D$8:$D$26,$C178)</f>
        <v>0</v>
      </c>
      <c r="H178" s="8">
        <f>SUMIFS('SUPER K.O'!$C$8:$C$41,'SUPER K.O'!$D$8:$D$41,$C178)</f>
        <v>0</v>
      </c>
      <c r="I178" s="8">
        <f>SUMIFS('8 GAME'!$C$8:$C$21,'8 GAME'!$D$8:$D$21,$C178)</f>
        <v>0</v>
      </c>
      <c r="J178" s="8">
        <f>SUMIFS('100K OMAHA MYSTERY BOUNTY'!$C$8:$C$32,'100K OMAHA MYSTERY BOUNTY'!$D$8:$D$32,$C178)</f>
        <v>10</v>
      </c>
      <c r="K178" s="8">
        <f>SUMIFS('CHAMPIONSHIP HIGH ROLLER 200K'!$C$8:$C$72,'CHAMPIONSHIP HIGH ROLLER 200K'!$D$8:$D$72,$C178)</f>
        <v>0</v>
      </c>
      <c r="L178" s="8">
        <f>SUMIFS('PLO-NLH DEALER´S CHOICE PIJAMA'!$C$8:$C$27,'PLO-NLH DEALER´S CHOICE PIJAMA'!$D$8:$D$27,$C178)</f>
        <v>0</v>
      </c>
      <c r="M178" s="8">
        <f>SUMIFS('Main Event SPT - Dia Final'!$C$8:$C$221,'Main Event SPT - Dia Final'!$D$8:$D$221,$C178)</f>
        <v>0</v>
      </c>
      <c r="N178" s="8">
        <f>SUMIFS('SECOND CHANCE'!$C$8:$C$86,'SECOND CHANCE'!$D$8:$D$86,$C178)</f>
        <v>0</v>
      </c>
      <c r="O178" s="8">
        <f>SUMIFS('HIGH ROLLER 50K'!$C$8:$C$38,'HIGH ROLLER 50K'!$D$8:$D$38,$C178)</f>
        <v>0</v>
      </c>
      <c r="P178" s="8">
        <f>SUMIFS('OMAHA DEALER´S CHOICE'!$C$8:$C$30,'OMAHA DEALER´S CHOICE'!$D$8:$D$30,$C178)</f>
        <v>0</v>
      </c>
    </row>
    <row r="179" spans="1:16">
      <c r="A179" s="4">
        <f t="shared" si="4"/>
        <v>173</v>
      </c>
      <c r="B179" s="5" t="s">
        <v>258</v>
      </c>
      <c r="C179" s="6" t="s">
        <v>259</v>
      </c>
      <c r="D179" s="7">
        <f t="shared" si="5"/>
        <v>10</v>
      </c>
      <c r="E179" s="4">
        <f>COUNTIF('200K OMAHA 5 K.O'!$D$8:$D$37,$C179)+COUNTIF(HORSE!$D$8:$D$26,$C179)+COUNTIF('SUPER K.O'!$D$8:$D$41,$C179)+COUNTIF('8 GAME'!$D$8:$D$21,$C179)+COUNTIF('100K OMAHA MYSTERY BOUNTY'!$D$8:$D$32,$C179)+COUNTIF('CHAMPIONSHIP HIGH ROLLER 200K'!$D$8:$D$72,$C179)+COUNTIF('PLO-NLH DEALER´S CHOICE PIJAMA'!$D$8:$D$27,$C179)+COUNTIF('Main Event SPT - Dia Final'!$D$8:$D$221,$C179)+COUNTIF('SECOND CHANCE'!$D$8:$D$86,$C179)+COUNTIF('HIGH ROLLER 50K'!$D$8:$D$38,$C179)+COUNTIF('OMAHA DEALER´S CHOICE'!$D$8:$D$30,$C179)</f>
        <v>1</v>
      </c>
      <c r="F179" s="8">
        <f>SUMIFS('200K OMAHA 5 K.O'!$C$8:$C$37,'200K OMAHA 5 K.O'!$D$8:$D$37,$C179)</f>
        <v>0</v>
      </c>
      <c r="G179" s="8">
        <f>SUMIFS(HORSE!$C$8:$C$26,HORSE!$D$8:$D$26,$C179)</f>
        <v>0</v>
      </c>
      <c r="H179" s="8">
        <f>SUMIFS('SUPER K.O'!$C$8:$C$41,'SUPER K.O'!$D$8:$D$41,$C179)</f>
        <v>0</v>
      </c>
      <c r="I179" s="8">
        <f>SUMIFS('8 GAME'!$C$8:$C$21,'8 GAME'!$D$8:$D$21,$C179)</f>
        <v>0</v>
      </c>
      <c r="J179" s="8">
        <f>SUMIFS('100K OMAHA MYSTERY BOUNTY'!$C$8:$C$32,'100K OMAHA MYSTERY BOUNTY'!$D$8:$D$32,$C179)</f>
        <v>0</v>
      </c>
      <c r="K179" s="8">
        <f>SUMIFS('CHAMPIONSHIP HIGH ROLLER 200K'!$C$8:$C$72,'CHAMPIONSHIP HIGH ROLLER 200K'!$D$8:$D$72,$C179)</f>
        <v>0</v>
      </c>
      <c r="L179" s="8">
        <f>SUMIFS('PLO-NLH DEALER´S CHOICE PIJAMA'!$C$8:$C$27,'PLO-NLH DEALER´S CHOICE PIJAMA'!$D$8:$D$27,$C179)</f>
        <v>10</v>
      </c>
      <c r="M179" s="8">
        <f>SUMIFS('Main Event SPT - Dia Final'!$C$8:$C$221,'Main Event SPT - Dia Final'!$D$8:$D$221,$C179)</f>
        <v>0</v>
      </c>
      <c r="N179" s="8">
        <f>SUMIFS('SECOND CHANCE'!$C$8:$C$86,'SECOND CHANCE'!$D$8:$D$86,$C179)</f>
        <v>0</v>
      </c>
      <c r="O179" s="8">
        <f>SUMIFS('HIGH ROLLER 50K'!$C$8:$C$38,'HIGH ROLLER 50K'!$D$8:$D$38,$C179)</f>
        <v>0</v>
      </c>
      <c r="P179" s="8">
        <f>SUMIFS('OMAHA DEALER´S CHOICE'!$C$8:$C$30,'OMAHA DEALER´S CHOICE'!$D$8:$D$30,$C179)</f>
        <v>0</v>
      </c>
    </row>
    <row r="180" spans="1:16">
      <c r="A180" s="4">
        <f t="shared" si="4"/>
        <v>173</v>
      </c>
      <c r="B180" s="5" t="s">
        <v>230</v>
      </c>
      <c r="C180" s="6" t="s">
        <v>231</v>
      </c>
      <c r="D180" s="7">
        <f t="shared" si="5"/>
        <v>10</v>
      </c>
      <c r="E180" s="4">
        <f>COUNTIF('200K OMAHA 5 K.O'!$D$8:$D$37,$C180)+COUNTIF(HORSE!$D$8:$D$26,$C180)+COUNTIF('SUPER K.O'!$D$8:$D$41,$C180)+COUNTIF('8 GAME'!$D$8:$D$21,$C180)+COUNTIF('100K OMAHA MYSTERY BOUNTY'!$D$8:$D$32,$C180)+COUNTIF('CHAMPIONSHIP HIGH ROLLER 200K'!$D$8:$D$72,$C180)+COUNTIF('PLO-NLH DEALER´S CHOICE PIJAMA'!$D$8:$D$27,$C180)+COUNTIF('Main Event SPT - Dia Final'!$D$8:$D$221,$C180)+COUNTIF('SECOND CHANCE'!$D$8:$D$86,$C180)+COUNTIF('HIGH ROLLER 50K'!$D$8:$D$38,$C180)+COUNTIF('OMAHA DEALER´S CHOICE'!$D$8:$D$30,$C180)</f>
        <v>1</v>
      </c>
      <c r="F180" s="8">
        <f>SUMIFS('200K OMAHA 5 K.O'!$C$8:$C$37,'200K OMAHA 5 K.O'!$D$8:$D$37,$C180)</f>
        <v>0</v>
      </c>
      <c r="G180" s="8">
        <f>SUMIFS(HORSE!$C$8:$C$26,HORSE!$D$8:$D$26,$C180)</f>
        <v>0</v>
      </c>
      <c r="H180" s="8">
        <f>SUMIFS('SUPER K.O'!$C$8:$C$41,'SUPER K.O'!$D$8:$D$41,$C180)</f>
        <v>0</v>
      </c>
      <c r="I180" s="8">
        <f>SUMIFS('8 GAME'!$C$8:$C$21,'8 GAME'!$D$8:$D$21,$C180)</f>
        <v>0</v>
      </c>
      <c r="J180" s="8">
        <f>SUMIFS('100K OMAHA MYSTERY BOUNTY'!$C$8:$C$32,'100K OMAHA MYSTERY BOUNTY'!$D$8:$D$32,$C180)</f>
        <v>0</v>
      </c>
      <c r="K180" s="8">
        <f>SUMIFS('CHAMPIONSHIP HIGH ROLLER 200K'!$C$8:$C$72,'CHAMPIONSHIP HIGH ROLLER 200K'!$D$8:$D$72,$C180)</f>
        <v>10</v>
      </c>
      <c r="L180" s="8">
        <f>SUMIFS('PLO-NLH DEALER´S CHOICE PIJAMA'!$C$8:$C$27,'PLO-NLH DEALER´S CHOICE PIJAMA'!$D$8:$D$27,$C180)</f>
        <v>0</v>
      </c>
      <c r="M180" s="8">
        <f>SUMIFS('Main Event SPT - Dia Final'!$C$8:$C$221,'Main Event SPT - Dia Final'!$D$8:$D$221,$C180)</f>
        <v>0</v>
      </c>
      <c r="N180" s="8">
        <f>SUMIFS('SECOND CHANCE'!$C$8:$C$86,'SECOND CHANCE'!$D$8:$D$86,$C180)</f>
        <v>0</v>
      </c>
      <c r="O180" s="8">
        <f>SUMIFS('HIGH ROLLER 50K'!$C$8:$C$38,'HIGH ROLLER 50K'!$D$8:$D$38,$C180)</f>
        <v>0</v>
      </c>
      <c r="P180" s="8">
        <f>SUMIFS('OMAHA DEALER´S CHOICE'!$C$8:$C$30,'OMAHA DEALER´S CHOICE'!$D$8:$D$30,$C180)</f>
        <v>0</v>
      </c>
    </row>
    <row r="181" spans="1:16">
      <c r="A181" s="4">
        <f t="shared" si="4"/>
        <v>173</v>
      </c>
      <c r="B181" s="5" t="s">
        <v>208</v>
      </c>
      <c r="C181" s="6" t="s">
        <v>209</v>
      </c>
      <c r="D181" s="7">
        <f t="shared" si="5"/>
        <v>10</v>
      </c>
      <c r="E181" s="4">
        <f>COUNTIF('200K OMAHA 5 K.O'!$D$8:$D$37,$C181)+COUNTIF(HORSE!$D$8:$D$26,$C181)+COUNTIF('SUPER K.O'!$D$8:$D$41,$C181)+COUNTIF('8 GAME'!$D$8:$D$21,$C181)+COUNTIF('100K OMAHA MYSTERY BOUNTY'!$D$8:$D$32,$C181)+COUNTIF('CHAMPIONSHIP HIGH ROLLER 200K'!$D$8:$D$72,$C181)+COUNTIF('PLO-NLH DEALER´S CHOICE PIJAMA'!$D$8:$D$27,$C181)+COUNTIF('Main Event SPT - Dia Final'!$D$8:$D$221,$C181)+COUNTIF('SECOND CHANCE'!$D$8:$D$86,$C181)+COUNTIF('HIGH ROLLER 50K'!$D$8:$D$38,$C181)+COUNTIF('OMAHA DEALER´S CHOICE'!$D$8:$D$30,$C181)</f>
        <v>1</v>
      </c>
      <c r="F181" s="8">
        <f>SUMIFS('200K OMAHA 5 K.O'!$C$8:$C$37,'200K OMAHA 5 K.O'!$D$8:$D$37,$C181)</f>
        <v>0</v>
      </c>
      <c r="G181" s="8">
        <f>SUMIFS(HORSE!$C$8:$C$26,HORSE!$D$8:$D$26,$C181)</f>
        <v>0</v>
      </c>
      <c r="H181" s="8">
        <f>SUMIFS('SUPER K.O'!$C$8:$C$41,'SUPER K.O'!$D$8:$D$41,$C181)</f>
        <v>0</v>
      </c>
      <c r="I181" s="8">
        <f>SUMIFS('8 GAME'!$C$8:$C$21,'8 GAME'!$D$8:$D$21,$C181)</f>
        <v>0</v>
      </c>
      <c r="J181" s="8">
        <f>SUMIFS('100K OMAHA MYSTERY BOUNTY'!$C$8:$C$32,'100K OMAHA MYSTERY BOUNTY'!$D$8:$D$32,$C181)</f>
        <v>0</v>
      </c>
      <c r="K181" s="8">
        <f>SUMIFS('CHAMPIONSHIP HIGH ROLLER 200K'!$C$8:$C$72,'CHAMPIONSHIP HIGH ROLLER 200K'!$D$8:$D$72,$C181)</f>
        <v>10</v>
      </c>
      <c r="L181" s="8">
        <f>SUMIFS('PLO-NLH DEALER´S CHOICE PIJAMA'!$C$8:$C$27,'PLO-NLH DEALER´S CHOICE PIJAMA'!$D$8:$D$27,$C181)</f>
        <v>0</v>
      </c>
      <c r="M181" s="8">
        <f>SUMIFS('Main Event SPT - Dia Final'!$C$8:$C$221,'Main Event SPT - Dia Final'!$D$8:$D$221,$C181)</f>
        <v>0</v>
      </c>
      <c r="N181" s="8">
        <f>SUMIFS('SECOND CHANCE'!$C$8:$C$86,'SECOND CHANCE'!$D$8:$D$86,$C181)</f>
        <v>0</v>
      </c>
      <c r="O181" s="8">
        <f>SUMIFS('HIGH ROLLER 50K'!$C$8:$C$38,'HIGH ROLLER 50K'!$D$8:$D$38,$C181)</f>
        <v>0</v>
      </c>
      <c r="P181" s="8">
        <f>SUMIFS('OMAHA DEALER´S CHOICE'!$C$8:$C$30,'OMAHA DEALER´S CHOICE'!$D$8:$D$30,$C181)</f>
        <v>0</v>
      </c>
    </row>
    <row r="182" spans="1:16">
      <c r="A182" s="4">
        <f t="shared" si="4"/>
        <v>173</v>
      </c>
      <c r="B182" s="5" t="s">
        <v>521</v>
      </c>
      <c r="C182" s="6" t="s">
        <v>522</v>
      </c>
      <c r="D182" s="7">
        <f t="shared" si="5"/>
        <v>10</v>
      </c>
      <c r="E182" s="4">
        <f>COUNTIF('200K OMAHA 5 K.O'!$D$8:$D$37,$C182)+COUNTIF(HORSE!$D$8:$D$26,$C182)+COUNTIF('SUPER K.O'!$D$8:$D$41,$C182)+COUNTIF('8 GAME'!$D$8:$D$21,$C182)+COUNTIF('100K OMAHA MYSTERY BOUNTY'!$D$8:$D$32,$C182)+COUNTIF('CHAMPIONSHIP HIGH ROLLER 200K'!$D$8:$D$72,$C182)+COUNTIF('PLO-NLH DEALER´S CHOICE PIJAMA'!$D$8:$D$27,$C182)+COUNTIF('Main Event SPT - Dia Final'!$D$8:$D$221,$C182)+COUNTIF('SECOND CHANCE'!$D$8:$D$86,$C182)+COUNTIF('HIGH ROLLER 50K'!$D$8:$D$38,$C182)+COUNTIF('OMAHA DEALER´S CHOICE'!$D$8:$D$30,$C182)</f>
        <v>1</v>
      </c>
      <c r="F182" s="8">
        <f>SUMIFS('200K OMAHA 5 K.O'!$C$8:$C$37,'200K OMAHA 5 K.O'!$D$8:$D$37,$C182)</f>
        <v>0</v>
      </c>
      <c r="G182" s="8">
        <f>SUMIFS(HORSE!$C$8:$C$26,HORSE!$D$8:$D$26,$C182)</f>
        <v>0</v>
      </c>
      <c r="H182" s="8">
        <f>SUMIFS('SUPER K.O'!$C$8:$C$41,'SUPER K.O'!$D$8:$D$41,$C182)</f>
        <v>0</v>
      </c>
      <c r="I182" s="8">
        <f>SUMIFS('8 GAME'!$C$8:$C$21,'8 GAME'!$D$8:$D$21,$C182)</f>
        <v>0</v>
      </c>
      <c r="J182" s="8">
        <f>SUMIFS('100K OMAHA MYSTERY BOUNTY'!$C$8:$C$32,'100K OMAHA MYSTERY BOUNTY'!$D$8:$D$32,$C182)</f>
        <v>0</v>
      </c>
      <c r="K182" s="8">
        <f>SUMIFS('CHAMPIONSHIP HIGH ROLLER 200K'!$C$8:$C$72,'CHAMPIONSHIP HIGH ROLLER 200K'!$D$8:$D$72,$C182)</f>
        <v>0</v>
      </c>
      <c r="L182" s="8">
        <f>SUMIFS('PLO-NLH DEALER´S CHOICE PIJAMA'!$C$8:$C$27,'PLO-NLH DEALER´S CHOICE PIJAMA'!$D$8:$D$27,$C182)</f>
        <v>0</v>
      </c>
      <c r="M182" s="8">
        <f>SUMIFS('Main Event SPT - Dia Final'!$C$8:$C$221,'Main Event SPT - Dia Final'!$D$8:$D$221,$C182)</f>
        <v>0</v>
      </c>
      <c r="N182" s="8">
        <f>SUMIFS('SECOND CHANCE'!$C$8:$C$86,'SECOND CHANCE'!$D$8:$D$86,$C182)</f>
        <v>0</v>
      </c>
      <c r="O182" s="8">
        <f>SUMIFS('HIGH ROLLER 50K'!$C$8:$C$38,'HIGH ROLLER 50K'!$D$8:$D$38,$C182)</f>
        <v>0</v>
      </c>
      <c r="P182" s="8">
        <f>SUMIFS('OMAHA DEALER´S CHOICE'!$C$8:$C$30,'OMAHA DEALER´S CHOICE'!$D$8:$D$30,$C182)</f>
        <v>10</v>
      </c>
    </row>
    <row r="183" spans="1:16">
      <c r="A183" s="4">
        <f t="shared" si="4"/>
        <v>173</v>
      </c>
      <c r="B183" s="5" t="s">
        <v>329</v>
      </c>
      <c r="C183" s="6" t="s">
        <v>330</v>
      </c>
      <c r="D183" s="7">
        <f t="shared" si="5"/>
        <v>10</v>
      </c>
      <c r="E183" s="4">
        <f>COUNTIF('200K OMAHA 5 K.O'!$D$8:$D$37,$C183)+COUNTIF(HORSE!$D$8:$D$26,$C183)+COUNTIF('SUPER K.O'!$D$8:$D$41,$C183)+COUNTIF('8 GAME'!$D$8:$D$21,$C183)+COUNTIF('100K OMAHA MYSTERY BOUNTY'!$D$8:$D$32,$C183)+COUNTIF('CHAMPIONSHIP HIGH ROLLER 200K'!$D$8:$D$72,$C183)+COUNTIF('PLO-NLH DEALER´S CHOICE PIJAMA'!$D$8:$D$27,$C183)+COUNTIF('Main Event SPT - Dia Final'!$D$8:$D$221,$C183)+COUNTIF('SECOND CHANCE'!$D$8:$D$86,$C183)+COUNTIF('HIGH ROLLER 50K'!$D$8:$D$38,$C183)+COUNTIF('OMAHA DEALER´S CHOICE'!$D$8:$D$30,$C183)</f>
        <v>1</v>
      </c>
      <c r="F183" s="8">
        <f>SUMIFS('200K OMAHA 5 K.O'!$C$8:$C$37,'200K OMAHA 5 K.O'!$D$8:$D$37,$C183)</f>
        <v>0</v>
      </c>
      <c r="G183" s="8">
        <f>SUMIFS(HORSE!$C$8:$C$26,HORSE!$D$8:$D$26,$C183)</f>
        <v>0</v>
      </c>
      <c r="H183" s="8">
        <f>SUMIFS('SUPER K.O'!$C$8:$C$41,'SUPER K.O'!$D$8:$D$41,$C183)</f>
        <v>0</v>
      </c>
      <c r="I183" s="8">
        <f>SUMIFS('8 GAME'!$C$8:$C$21,'8 GAME'!$D$8:$D$21,$C183)</f>
        <v>0</v>
      </c>
      <c r="J183" s="8">
        <f>SUMIFS('100K OMAHA MYSTERY BOUNTY'!$C$8:$C$32,'100K OMAHA MYSTERY BOUNTY'!$D$8:$D$32,$C183)</f>
        <v>0</v>
      </c>
      <c r="K183" s="8">
        <f>SUMIFS('CHAMPIONSHIP HIGH ROLLER 200K'!$C$8:$C$72,'CHAMPIONSHIP HIGH ROLLER 200K'!$D$8:$D$72,$C183)</f>
        <v>0</v>
      </c>
      <c r="L183" s="8">
        <f>SUMIFS('PLO-NLH DEALER´S CHOICE PIJAMA'!$C$8:$C$27,'PLO-NLH DEALER´S CHOICE PIJAMA'!$D$8:$D$27,$C183)</f>
        <v>0</v>
      </c>
      <c r="M183" s="8">
        <f>SUMIFS('Main Event SPT - Dia Final'!$C$8:$C$221,'Main Event SPT - Dia Final'!$D$8:$D$221,$C183)</f>
        <v>10</v>
      </c>
      <c r="N183" s="8">
        <f>SUMIFS('SECOND CHANCE'!$C$8:$C$86,'SECOND CHANCE'!$D$8:$D$86,$C183)</f>
        <v>0</v>
      </c>
      <c r="O183" s="8">
        <f>SUMIFS('HIGH ROLLER 50K'!$C$8:$C$38,'HIGH ROLLER 50K'!$D$8:$D$38,$C183)</f>
        <v>0</v>
      </c>
      <c r="P183" s="8">
        <f>SUMIFS('OMAHA DEALER´S CHOICE'!$C$8:$C$30,'OMAHA DEALER´S CHOICE'!$D$8:$D$30,$C183)</f>
        <v>0</v>
      </c>
    </row>
    <row r="184" spans="1:16">
      <c r="A184" s="4">
        <f t="shared" si="4"/>
        <v>173</v>
      </c>
      <c r="B184" s="5" t="s">
        <v>327</v>
      </c>
      <c r="C184" s="6" t="s">
        <v>328</v>
      </c>
      <c r="D184" s="7">
        <f t="shared" si="5"/>
        <v>10</v>
      </c>
      <c r="E184" s="4">
        <f>COUNTIF('200K OMAHA 5 K.O'!$D$8:$D$37,$C184)+COUNTIF(HORSE!$D$8:$D$26,$C184)+COUNTIF('SUPER K.O'!$D$8:$D$41,$C184)+COUNTIF('8 GAME'!$D$8:$D$21,$C184)+COUNTIF('100K OMAHA MYSTERY BOUNTY'!$D$8:$D$32,$C184)+COUNTIF('CHAMPIONSHIP HIGH ROLLER 200K'!$D$8:$D$72,$C184)+COUNTIF('PLO-NLH DEALER´S CHOICE PIJAMA'!$D$8:$D$27,$C184)+COUNTIF('Main Event SPT - Dia Final'!$D$8:$D$221,$C184)+COUNTIF('SECOND CHANCE'!$D$8:$D$86,$C184)+COUNTIF('HIGH ROLLER 50K'!$D$8:$D$38,$C184)+COUNTIF('OMAHA DEALER´S CHOICE'!$D$8:$D$30,$C184)</f>
        <v>1</v>
      </c>
      <c r="F184" s="8">
        <f>SUMIFS('200K OMAHA 5 K.O'!$C$8:$C$37,'200K OMAHA 5 K.O'!$D$8:$D$37,$C184)</f>
        <v>0</v>
      </c>
      <c r="G184" s="8">
        <f>SUMIFS(HORSE!$C$8:$C$26,HORSE!$D$8:$D$26,$C184)</f>
        <v>0</v>
      </c>
      <c r="H184" s="8">
        <f>SUMIFS('SUPER K.O'!$C$8:$C$41,'SUPER K.O'!$D$8:$D$41,$C184)</f>
        <v>0</v>
      </c>
      <c r="I184" s="8">
        <f>SUMIFS('8 GAME'!$C$8:$C$21,'8 GAME'!$D$8:$D$21,$C184)</f>
        <v>0</v>
      </c>
      <c r="J184" s="8">
        <f>SUMIFS('100K OMAHA MYSTERY BOUNTY'!$C$8:$C$32,'100K OMAHA MYSTERY BOUNTY'!$D$8:$D$32,$C184)</f>
        <v>0</v>
      </c>
      <c r="K184" s="8">
        <f>SUMIFS('CHAMPIONSHIP HIGH ROLLER 200K'!$C$8:$C$72,'CHAMPIONSHIP HIGH ROLLER 200K'!$D$8:$D$72,$C184)</f>
        <v>0</v>
      </c>
      <c r="L184" s="8">
        <f>SUMIFS('PLO-NLH DEALER´S CHOICE PIJAMA'!$C$8:$C$27,'PLO-NLH DEALER´S CHOICE PIJAMA'!$D$8:$D$27,$C184)</f>
        <v>0</v>
      </c>
      <c r="M184" s="8">
        <f>SUMIFS('Main Event SPT - Dia Final'!$C$8:$C$221,'Main Event SPT - Dia Final'!$D$8:$D$221,$C184)</f>
        <v>10</v>
      </c>
      <c r="N184" s="8">
        <f>SUMIFS('SECOND CHANCE'!$C$8:$C$86,'SECOND CHANCE'!$D$8:$D$86,$C184)</f>
        <v>0</v>
      </c>
      <c r="O184" s="8">
        <f>SUMIFS('HIGH ROLLER 50K'!$C$8:$C$38,'HIGH ROLLER 50K'!$D$8:$D$38,$C184)</f>
        <v>0</v>
      </c>
      <c r="P184" s="8">
        <f>SUMIFS('OMAHA DEALER´S CHOICE'!$C$8:$C$30,'OMAHA DEALER´S CHOICE'!$D$8:$D$30,$C184)</f>
        <v>0</v>
      </c>
    </row>
    <row r="185" spans="1:16">
      <c r="A185" s="4">
        <f t="shared" si="4"/>
        <v>173</v>
      </c>
      <c r="B185" s="5" t="s">
        <v>331</v>
      </c>
      <c r="C185" s="6" t="s">
        <v>332</v>
      </c>
      <c r="D185" s="7">
        <f t="shared" si="5"/>
        <v>10</v>
      </c>
      <c r="E185" s="4">
        <f>COUNTIF('200K OMAHA 5 K.O'!$D$8:$D$37,$C185)+COUNTIF(HORSE!$D$8:$D$26,$C185)+COUNTIF('SUPER K.O'!$D$8:$D$41,$C185)+COUNTIF('8 GAME'!$D$8:$D$21,$C185)+COUNTIF('100K OMAHA MYSTERY BOUNTY'!$D$8:$D$32,$C185)+COUNTIF('CHAMPIONSHIP HIGH ROLLER 200K'!$D$8:$D$72,$C185)+COUNTIF('PLO-NLH DEALER´S CHOICE PIJAMA'!$D$8:$D$27,$C185)+COUNTIF('Main Event SPT - Dia Final'!$D$8:$D$221,$C185)+COUNTIF('SECOND CHANCE'!$D$8:$D$86,$C185)+COUNTIF('HIGH ROLLER 50K'!$D$8:$D$38,$C185)+COUNTIF('OMAHA DEALER´S CHOICE'!$D$8:$D$30,$C185)</f>
        <v>1</v>
      </c>
      <c r="F185" s="8">
        <f>SUMIFS('200K OMAHA 5 K.O'!$C$8:$C$37,'200K OMAHA 5 K.O'!$D$8:$D$37,$C185)</f>
        <v>0</v>
      </c>
      <c r="G185" s="8">
        <f>SUMIFS(HORSE!$C$8:$C$26,HORSE!$D$8:$D$26,$C185)</f>
        <v>0</v>
      </c>
      <c r="H185" s="8">
        <f>SUMIFS('SUPER K.O'!$C$8:$C$41,'SUPER K.O'!$D$8:$D$41,$C185)</f>
        <v>0</v>
      </c>
      <c r="I185" s="8">
        <f>SUMIFS('8 GAME'!$C$8:$C$21,'8 GAME'!$D$8:$D$21,$C185)</f>
        <v>0</v>
      </c>
      <c r="J185" s="8">
        <f>SUMIFS('100K OMAHA MYSTERY BOUNTY'!$C$8:$C$32,'100K OMAHA MYSTERY BOUNTY'!$D$8:$D$32,$C185)</f>
        <v>0</v>
      </c>
      <c r="K185" s="8">
        <f>SUMIFS('CHAMPIONSHIP HIGH ROLLER 200K'!$C$8:$C$72,'CHAMPIONSHIP HIGH ROLLER 200K'!$D$8:$D$72,$C185)</f>
        <v>0</v>
      </c>
      <c r="L185" s="8">
        <f>SUMIFS('PLO-NLH DEALER´S CHOICE PIJAMA'!$C$8:$C$27,'PLO-NLH DEALER´S CHOICE PIJAMA'!$D$8:$D$27,$C185)</f>
        <v>0</v>
      </c>
      <c r="M185" s="8">
        <f>SUMIFS('Main Event SPT - Dia Final'!$C$8:$C$221,'Main Event SPT - Dia Final'!$D$8:$D$221,$C185)</f>
        <v>10</v>
      </c>
      <c r="N185" s="8">
        <f>SUMIFS('SECOND CHANCE'!$C$8:$C$86,'SECOND CHANCE'!$D$8:$D$86,$C185)</f>
        <v>0</v>
      </c>
      <c r="O185" s="8">
        <f>SUMIFS('HIGH ROLLER 50K'!$C$8:$C$38,'HIGH ROLLER 50K'!$D$8:$D$38,$C185)</f>
        <v>0</v>
      </c>
      <c r="P185" s="8">
        <f>SUMIFS('OMAHA DEALER´S CHOICE'!$C$8:$C$30,'OMAHA DEALER´S CHOICE'!$D$8:$D$30,$C185)</f>
        <v>0</v>
      </c>
    </row>
    <row r="186" spans="1:16">
      <c r="A186" s="4">
        <f t="shared" si="4"/>
        <v>173</v>
      </c>
      <c r="B186" s="5" t="s">
        <v>333</v>
      </c>
      <c r="C186" s="6" t="s">
        <v>334</v>
      </c>
      <c r="D186" s="7">
        <f t="shared" si="5"/>
        <v>10</v>
      </c>
      <c r="E186" s="4">
        <f>COUNTIF('200K OMAHA 5 K.O'!$D$8:$D$37,$C186)+COUNTIF(HORSE!$D$8:$D$26,$C186)+COUNTIF('SUPER K.O'!$D$8:$D$41,$C186)+COUNTIF('8 GAME'!$D$8:$D$21,$C186)+COUNTIF('100K OMAHA MYSTERY BOUNTY'!$D$8:$D$32,$C186)+COUNTIF('CHAMPIONSHIP HIGH ROLLER 200K'!$D$8:$D$72,$C186)+COUNTIF('PLO-NLH DEALER´S CHOICE PIJAMA'!$D$8:$D$27,$C186)+COUNTIF('Main Event SPT - Dia Final'!$D$8:$D$221,$C186)+COUNTIF('SECOND CHANCE'!$D$8:$D$86,$C186)+COUNTIF('HIGH ROLLER 50K'!$D$8:$D$38,$C186)+COUNTIF('OMAHA DEALER´S CHOICE'!$D$8:$D$30,$C186)</f>
        <v>1</v>
      </c>
      <c r="F186" s="8">
        <f>SUMIFS('200K OMAHA 5 K.O'!$C$8:$C$37,'200K OMAHA 5 K.O'!$D$8:$D$37,$C186)</f>
        <v>0</v>
      </c>
      <c r="G186" s="8">
        <f>SUMIFS(HORSE!$C$8:$C$26,HORSE!$D$8:$D$26,$C186)</f>
        <v>0</v>
      </c>
      <c r="H186" s="8">
        <f>SUMIFS('SUPER K.O'!$C$8:$C$41,'SUPER K.O'!$D$8:$D$41,$C186)</f>
        <v>0</v>
      </c>
      <c r="I186" s="8">
        <f>SUMIFS('8 GAME'!$C$8:$C$21,'8 GAME'!$D$8:$D$21,$C186)</f>
        <v>0</v>
      </c>
      <c r="J186" s="8">
        <f>SUMIFS('100K OMAHA MYSTERY BOUNTY'!$C$8:$C$32,'100K OMAHA MYSTERY BOUNTY'!$D$8:$D$32,$C186)</f>
        <v>0</v>
      </c>
      <c r="K186" s="8">
        <f>SUMIFS('CHAMPIONSHIP HIGH ROLLER 200K'!$C$8:$C$72,'CHAMPIONSHIP HIGH ROLLER 200K'!$D$8:$D$72,$C186)</f>
        <v>0</v>
      </c>
      <c r="L186" s="8">
        <f>SUMIFS('PLO-NLH DEALER´S CHOICE PIJAMA'!$C$8:$C$27,'PLO-NLH DEALER´S CHOICE PIJAMA'!$D$8:$D$27,$C186)</f>
        <v>0</v>
      </c>
      <c r="M186" s="8">
        <f>SUMIFS('Main Event SPT - Dia Final'!$C$8:$C$221,'Main Event SPT - Dia Final'!$D$8:$D$221,$C186)</f>
        <v>10</v>
      </c>
      <c r="N186" s="8">
        <f>SUMIFS('SECOND CHANCE'!$C$8:$C$86,'SECOND CHANCE'!$D$8:$D$86,$C186)</f>
        <v>0</v>
      </c>
      <c r="O186" s="8">
        <f>SUMIFS('HIGH ROLLER 50K'!$C$8:$C$38,'HIGH ROLLER 50K'!$D$8:$D$38,$C186)</f>
        <v>0</v>
      </c>
      <c r="P186" s="8">
        <f>SUMIFS('OMAHA DEALER´S CHOICE'!$C$8:$C$30,'OMAHA DEALER´S CHOICE'!$D$8:$D$30,$C186)</f>
        <v>0</v>
      </c>
    </row>
    <row r="187" spans="1:16">
      <c r="A187" s="4">
        <f t="shared" si="4"/>
        <v>173</v>
      </c>
      <c r="B187" s="5" t="s">
        <v>335</v>
      </c>
      <c r="C187" s="6" t="s">
        <v>336</v>
      </c>
      <c r="D187" s="7">
        <f t="shared" si="5"/>
        <v>10</v>
      </c>
      <c r="E187" s="4">
        <f>COUNTIF('200K OMAHA 5 K.O'!$D$8:$D$37,$C187)+COUNTIF(HORSE!$D$8:$D$26,$C187)+COUNTIF('SUPER K.O'!$D$8:$D$41,$C187)+COUNTIF('8 GAME'!$D$8:$D$21,$C187)+COUNTIF('100K OMAHA MYSTERY BOUNTY'!$D$8:$D$32,$C187)+COUNTIF('CHAMPIONSHIP HIGH ROLLER 200K'!$D$8:$D$72,$C187)+COUNTIF('PLO-NLH DEALER´S CHOICE PIJAMA'!$D$8:$D$27,$C187)+COUNTIF('Main Event SPT - Dia Final'!$D$8:$D$221,$C187)+COUNTIF('SECOND CHANCE'!$D$8:$D$86,$C187)+COUNTIF('HIGH ROLLER 50K'!$D$8:$D$38,$C187)+COUNTIF('OMAHA DEALER´S CHOICE'!$D$8:$D$30,$C187)</f>
        <v>1</v>
      </c>
      <c r="F187" s="8">
        <f>SUMIFS('200K OMAHA 5 K.O'!$C$8:$C$37,'200K OMAHA 5 K.O'!$D$8:$D$37,$C187)</f>
        <v>0</v>
      </c>
      <c r="G187" s="8">
        <f>SUMIFS(HORSE!$C$8:$C$26,HORSE!$D$8:$D$26,$C187)</f>
        <v>0</v>
      </c>
      <c r="H187" s="8">
        <f>SUMIFS('SUPER K.O'!$C$8:$C$41,'SUPER K.O'!$D$8:$D$41,$C187)</f>
        <v>0</v>
      </c>
      <c r="I187" s="8">
        <f>SUMIFS('8 GAME'!$C$8:$C$21,'8 GAME'!$D$8:$D$21,$C187)</f>
        <v>0</v>
      </c>
      <c r="J187" s="8">
        <f>SUMIFS('100K OMAHA MYSTERY BOUNTY'!$C$8:$C$32,'100K OMAHA MYSTERY BOUNTY'!$D$8:$D$32,$C187)</f>
        <v>0</v>
      </c>
      <c r="K187" s="8">
        <f>SUMIFS('CHAMPIONSHIP HIGH ROLLER 200K'!$C$8:$C$72,'CHAMPIONSHIP HIGH ROLLER 200K'!$D$8:$D$72,$C187)</f>
        <v>0</v>
      </c>
      <c r="L187" s="8">
        <f>SUMIFS('PLO-NLH DEALER´S CHOICE PIJAMA'!$C$8:$C$27,'PLO-NLH DEALER´S CHOICE PIJAMA'!$D$8:$D$27,$C187)</f>
        <v>0</v>
      </c>
      <c r="M187" s="8">
        <f>SUMIFS('Main Event SPT - Dia Final'!$C$8:$C$221,'Main Event SPT - Dia Final'!$D$8:$D$221,$C187)</f>
        <v>10</v>
      </c>
      <c r="N187" s="8">
        <f>SUMIFS('SECOND CHANCE'!$C$8:$C$86,'SECOND CHANCE'!$D$8:$D$86,$C187)</f>
        <v>0</v>
      </c>
      <c r="O187" s="8">
        <f>SUMIFS('HIGH ROLLER 50K'!$C$8:$C$38,'HIGH ROLLER 50K'!$D$8:$D$38,$C187)</f>
        <v>0</v>
      </c>
      <c r="P187" s="8">
        <f>SUMIFS('OMAHA DEALER´S CHOICE'!$C$8:$C$30,'OMAHA DEALER´S CHOICE'!$D$8:$D$30,$C187)</f>
        <v>0</v>
      </c>
    </row>
    <row r="188" spans="1:16">
      <c r="A188" s="4">
        <f t="shared" si="4"/>
        <v>173</v>
      </c>
      <c r="B188" s="5" t="s">
        <v>453</v>
      </c>
      <c r="C188" s="6" t="s">
        <v>454</v>
      </c>
      <c r="D188" s="7">
        <f t="shared" si="5"/>
        <v>10</v>
      </c>
      <c r="E188" s="4">
        <f>COUNTIF('200K OMAHA 5 K.O'!$D$8:$D$37,$C188)+COUNTIF(HORSE!$D$8:$D$26,$C188)+COUNTIF('SUPER K.O'!$D$8:$D$41,$C188)+COUNTIF('8 GAME'!$D$8:$D$21,$C188)+COUNTIF('100K OMAHA MYSTERY BOUNTY'!$D$8:$D$32,$C188)+COUNTIF('CHAMPIONSHIP HIGH ROLLER 200K'!$D$8:$D$72,$C188)+COUNTIF('PLO-NLH DEALER´S CHOICE PIJAMA'!$D$8:$D$27,$C188)+COUNTIF('Main Event SPT - Dia Final'!$D$8:$D$221,$C188)+COUNTIF('SECOND CHANCE'!$D$8:$D$86,$C188)+COUNTIF('HIGH ROLLER 50K'!$D$8:$D$38,$C188)+COUNTIF('OMAHA DEALER´S CHOICE'!$D$8:$D$30,$C188)</f>
        <v>1</v>
      </c>
      <c r="F188" s="8">
        <f>SUMIFS('200K OMAHA 5 K.O'!$C$8:$C$37,'200K OMAHA 5 K.O'!$D$8:$D$37,$C188)</f>
        <v>0</v>
      </c>
      <c r="G188" s="8">
        <f>SUMIFS(HORSE!$C$8:$C$26,HORSE!$D$8:$D$26,$C188)</f>
        <v>0</v>
      </c>
      <c r="H188" s="8">
        <f>SUMIFS('SUPER K.O'!$C$8:$C$41,'SUPER K.O'!$D$8:$D$41,$C188)</f>
        <v>0</v>
      </c>
      <c r="I188" s="8">
        <f>SUMIFS('8 GAME'!$C$8:$C$21,'8 GAME'!$D$8:$D$21,$C188)</f>
        <v>0</v>
      </c>
      <c r="J188" s="8">
        <f>SUMIFS('100K OMAHA MYSTERY BOUNTY'!$C$8:$C$32,'100K OMAHA MYSTERY BOUNTY'!$D$8:$D$32,$C188)</f>
        <v>0</v>
      </c>
      <c r="K188" s="8">
        <f>SUMIFS('CHAMPIONSHIP HIGH ROLLER 200K'!$C$8:$C$72,'CHAMPIONSHIP HIGH ROLLER 200K'!$D$8:$D$72,$C188)</f>
        <v>0</v>
      </c>
      <c r="L188" s="8">
        <f>SUMIFS('PLO-NLH DEALER´S CHOICE PIJAMA'!$C$8:$C$27,'PLO-NLH DEALER´S CHOICE PIJAMA'!$D$8:$D$27,$C188)</f>
        <v>0</v>
      </c>
      <c r="M188" s="8">
        <f>SUMIFS('Main Event SPT - Dia Final'!$C$8:$C$221,'Main Event SPT - Dia Final'!$D$8:$D$221,$C188)</f>
        <v>10</v>
      </c>
      <c r="N188" s="8">
        <f>SUMIFS('SECOND CHANCE'!$C$8:$C$86,'SECOND CHANCE'!$D$8:$D$86,$C188)</f>
        <v>0</v>
      </c>
      <c r="O188" s="8">
        <f>SUMIFS('HIGH ROLLER 50K'!$C$8:$C$38,'HIGH ROLLER 50K'!$D$8:$D$38,$C188)</f>
        <v>0</v>
      </c>
      <c r="P188" s="8">
        <f>SUMIFS('OMAHA DEALER´S CHOICE'!$C$8:$C$30,'OMAHA DEALER´S CHOICE'!$D$8:$D$30,$C188)</f>
        <v>0</v>
      </c>
    </row>
    <row r="189" spans="1:16">
      <c r="A189" s="4">
        <f t="shared" si="4"/>
        <v>173</v>
      </c>
      <c r="B189" s="5" t="s">
        <v>469</v>
      </c>
      <c r="C189" s="6" t="s">
        <v>470</v>
      </c>
      <c r="D189" s="7">
        <f t="shared" si="5"/>
        <v>10</v>
      </c>
      <c r="E189" s="4">
        <f>COUNTIF('200K OMAHA 5 K.O'!$D$8:$D$37,$C189)+COUNTIF(HORSE!$D$8:$D$26,$C189)+COUNTIF('SUPER K.O'!$D$8:$D$41,$C189)+COUNTIF('8 GAME'!$D$8:$D$21,$C189)+COUNTIF('100K OMAHA MYSTERY BOUNTY'!$D$8:$D$32,$C189)+COUNTIF('CHAMPIONSHIP HIGH ROLLER 200K'!$D$8:$D$72,$C189)+COUNTIF('PLO-NLH DEALER´S CHOICE PIJAMA'!$D$8:$D$27,$C189)+COUNTIF('Main Event SPT - Dia Final'!$D$8:$D$221,$C189)+COUNTIF('SECOND CHANCE'!$D$8:$D$86,$C189)+COUNTIF('HIGH ROLLER 50K'!$D$8:$D$38,$C189)+COUNTIF('OMAHA DEALER´S CHOICE'!$D$8:$D$30,$C189)</f>
        <v>1</v>
      </c>
      <c r="F189" s="8">
        <f>SUMIFS('200K OMAHA 5 K.O'!$C$8:$C$37,'200K OMAHA 5 K.O'!$D$8:$D$37,$C189)</f>
        <v>0</v>
      </c>
      <c r="G189" s="8">
        <f>SUMIFS(HORSE!$C$8:$C$26,HORSE!$D$8:$D$26,$C189)</f>
        <v>0</v>
      </c>
      <c r="H189" s="8">
        <f>SUMIFS('SUPER K.O'!$C$8:$C$41,'SUPER K.O'!$D$8:$D$41,$C189)</f>
        <v>0</v>
      </c>
      <c r="I189" s="8">
        <f>SUMIFS('8 GAME'!$C$8:$C$21,'8 GAME'!$D$8:$D$21,$C189)</f>
        <v>0</v>
      </c>
      <c r="J189" s="8">
        <f>SUMIFS('100K OMAHA MYSTERY BOUNTY'!$C$8:$C$32,'100K OMAHA MYSTERY BOUNTY'!$D$8:$D$32,$C189)</f>
        <v>0</v>
      </c>
      <c r="K189" s="8">
        <f>SUMIFS('CHAMPIONSHIP HIGH ROLLER 200K'!$C$8:$C$72,'CHAMPIONSHIP HIGH ROLLER 200K'!$D$8:$D$72,$C189)</f>
        <v>0</v>
      </c>
      <c r="L189" s="8">
        <f>SUMIFS('PLO-NLH DEALER´S CHOICE PIJAMA'!$C$8:$C$27,'PLO-NLH DEALER´S CHOICE PIJAMA'!$D$8:$D$27,$C189)</f>
        <v>0</v>
      </c>
      <c r="M189" s="8">
        <f>SUMIFS('Main Event SPT - Dia Final'!$C$8:$C$221,'Main Event SPT - Dia Final'!$D$8:$D$221,$C189)</f>
        <v>10</v>
      </c>
      <c r="N189" s="8">
        <f>SUMIFS('SECOND CHANCE'!$C$8:$C$86,'SECOND CHANCE'!$D$8:$D$86,$C189)</f>
        <v>0</v>
      </c>
      <c r="O189" s="8">
        <f>SUMIFS('HIGH ROLLER 50K'!$C$8:$C$38,'HIGH ROLLER 50K'!$D$8:$D$38,$C189)</f>
        <v>0</v>
      </c>
      <c r="P189" s="8">
        <f>SUMIFS('OMAHA DEALER´S CHOICE'!$C$8:$C$30,'OMAHA DEALER´S CHOICE'!$D$8:$D$30,$C189)</f>
        <v>0</v>
      </c>
    </row>
    <row r="190" spans="1:16">
      <c r="A190" s="4">
        <f t="shared" si="4"/>
        <v>173</v>
      </c>
      <c r="B190" s="5" t="s">
        <v>429</v>
      </c>
      <c r="C190" s="6" t="s">
        <v>430</v>
      </c>
      <c r="D190" s="7">
        <f t="shared" si="5"/>
        <v>10</v>
      </c>
      <c r="E190" s="4">
        <f>COUNTIF('200K OMAHA 5 K.O'!$D$8:$D$37,$C190)+COUNTIF(HORSE!$D$8:$D$26,$C190)+COUNTIF('SUPER K.O'!$D$8:$D$41,$C190)+COUNTIF('8 GAME'!$D$8:$D$21,$C190)+COUNTIF('100K OMAHA MYSTERY BOUNTY'!$D$8:$D$32,$C190)+COUNTIF('CHAMPIONSHIP HIGH ROLLER 200K'!$D$8:$D$72,$C190)+COUNTIF('PLO-NLH DEALER´S CHOICE PIJAMA'!$D$8:$D$27,$C190)+COUNTIF('Main Event SPT - Dia Final'!$D$8:$D$221,$C190)+COUNTIF('SECOND CHANCE'!$D$8:$D$86,$C190)+COUNTIF('HIGH ROLLER 50K'!$D$8:$D$38,$C190)+COUNTIF('OMAHA DEALER´S CHOICE'!$D$8:$D$30,$C190)</f>
        <v>1</v>
      </c>
      <c r="F190" s="8">
        <f>SUMIFS('200K OMAHA 5 K.O'!$C$8:$C$37,'200K OMAHA 5 K.O'!$D$8:$D$37,$C190)</f>
        <v>0</v>
      </c>
      <c r="G190" s="8">
        <f>SUMIFS(HORSE!$C$8:$C$26,HORSE!$D$8:$D$26,$C190)</f>
        <v>0</v>
      </c>
      <c r="H190" s="8">
        <f>SUMIFS('SUPER K.O'!$C$8:$C$41,'SUPER K.O'!$D$8:$D$41,$C190)</f>
        <v>0</v>
      </c>
      <c r="I190" s="8">
        <f>SUMIFS('8 GAME'!$C$8:$C$21,'8 GAME'!$D$8:$D$21,$C190)</f>
        <v>0</v>
      </c>
      <c r="J190" s="8">
        <f>SUMIFS('100K OMAHA MYSTERY BOUNTY'!$C$8:$C$32,'100K OMAHA MYSTERY BOUNTY'!$D$8:$D$32,$C190)</f>
        <v>0</v>
      </c>
      <c r="K190" s="8">
        <f>SUMIFS('CHAMPIONSHIP HIGH ROLLER 200K'!$C$8:$C$72,'CHAMPIONSHIP HIGH ROLLER 200K'!$D$8:$D$72,$C190)</f>
        <v>0</v>
      </c>
      <c r="L190" s="8">
        <f>SUMIFS('PLO-NLH DEALER´S CHOICE PIJAMA'!$C$8:$C$27,'PLO-NLH DEALER´S CHOICE PIJAMA'!$D$8:$D$27,$C190)</f>
        <v>0</v>
      </c>
      <c r="M190" s="8">
        <f>SUMIFS('Main Event SPT - Dia Final'!$C$8:$C$221,'Main Event SPT - Dia Final'!$D$8:$D$221,$C190)</f>
        <v>10</v>
      </c>
      <c r="N190" s="8">
        <f>SUMIFS('SECOND CHANCE'!$C$8:$C$86,'SECOND CHANCE'!$D$8:$D$86,$C190)</f>
        <v>0</v>
      </c>
      <c r="O190" s="8">
        <f>SUMIFS('HIGH ROLLER 50K'!$C$8:$C$38,'HIGH ROLLER 50K'!$D$8:$D$38,$C190)</f>
        <v>0</v>
      </c>
      <c r="P190" s="8">
        <f>SUMIFS('OMAHA DEALER´S CHOICE'!$C$8:$C$30,'OMAHA DEALER´S CHOICE'!$D$8:$D$30,$C190)</f>
        <v>0</v>
      </c>
    </row>
    <row r="191" spans="1:16">
      <c r="A191" s="4">
        <f t="shared" si="4"/>
        <v>173</v>
      </c>
      <c r="B191" s="5" t="s">
        <v>365</v>
      </c>
      <c r="C191" s="6" t="s">
        <v>366</v>
      </c>
      <c r="D191" s="7">
        <f t="shared" si="5"/>
        <v>10</v>
      </c>
      <c r="E191" s="4">
        <f>COUNTIF('200K OMAHA 5 K.O'!$D$8:$D$37,$C191)+COUNTIF(HORSE!$D$8:$D$26,$C191)+COUNTIF('SUPER K.O'!$D$8:$D$41,$C191)+COUNTIF('8 GAME'!$D$8:$D$21,$C191)+COUNTIF('100K OMAHA MYSTERY BOUNTY'!$D$8:$D$32,$C191)+COUNTIF('CHAMPIONSHIP HIGH ROLLER 200K'!$D$8:$D$72,$C191)+COUNTIF('PLO-NLH DEALER´S CHOICE PIJAMA'!$D$8:$D$27,$C191)+COUNTIF('Main Event SPT - Dia Final'!$D$8:$D$221,$C191)+COUNTIF('SECOND CHANCE'!$D$8:$D$86,$C191)+COUNTIF('HIGH ROLLER 50K'!$D$8:$D$38,$C191)+COUNTIF('OMAHA DEALER´S CHOICE'!$D$8:$D$30,$C191)</f>
        <v>1</v>
      </c>
      <c r="F191" s="8">
        <f>SUMIFS('200K OMAHA 5 K.O'!$C$8:$C$37,'200K OMAHA 5 K.O'!$D$8:$D$37,$C191)</f>
        <v>0</v>
      </c>
      <c r="G191" s="8">
        <f>SUMIFS(HORSE!$C$8:$C$26,HORSE!$D$8:$D$26,$C191)</f>
        <v>0</v>
      </c>
      <c r="H191" s="8">
        <f>SUMIFS('SUPER K.O'!$C$8:$C$41,'SUPER K.O'!$D$8:$D$41,$C191)</f>
        <v>0</v>
      </c>
      <c r="I191" s="8">
        <f>SUMIFS('8 GAME'!$C$8:$C$21,'8 GAME'!$D$8:$D$21,$C191)</f>
        <v>0</v>
      </c>
      <c r="J191" s="8">
        <f>SUMIFS('100K OMAHA MYSTERY BOUNTY'!$C$8:$C$32,'100K OMAHA MYSTERY BOUNTY'!$D$8:$D$32,$C191)</f>
        <v>0</v>
      </c>
      <c r="K191" s="8">
        <f>SUMIFS('CHAMPIONSHIP HIGH ROLLER 200K'!$C$8:$C$72,'CHAMPIONSHIP HIGH ROLLER 200K'!$D$8:$D$72,$C191)</f>
        <v>0</v>
      </c>
      <c r="L191" s="8">
        <f>SUMIFS('PLO-NLH DEALER´S CHOICE PIJAMA'!$C$8:$C$27,'PLO-NLH DEALER´S CHOICE PIJAMA'!$D$8:$D$27,$C191)</f>
        <v>0</v>
      </c>
      <c r="M191" s="8">
        <f>SUMIFS('Main Event SPT - Dia Final'!$C$8:$C$221,'Main Event SPT - Dia Final'!$D$8:$D$221,$C191)</f>
        <v>10</v>
      </c>
      <c r="N191" s="8">
        <f>SUMIFS('SECOND CHANCE'!$C$8:$C$86,'SECOND CHANCE'!$D$8:$D$86,$C191)</f>
        <v>0</v>
      </c>
      <c r="O191" s="8">
        <f>SUMIFS('HIGH ROLLER 50K'!$C$8:$C$38,'HIGH ROLLER 50K'!$D$8:$D$38,$C191)</f>
        <v>0</v>
      </c>
      <c r="P191" s="8">
        <f>SUMIFS('OMAHA DEALER´S CHOICE'!$C$8:$C$30,'OMAHA DEALER´S CHOICE'!$D$8:$D$30,$C191)</f>
        <v>0</v>
      </c>
    </row>
    <row r="192" spans="1:16">
      <c r="A192" s="4">
        <f t="shared" si="4"/>
        <v>173</v>
      </c>
      <c r="B192" s="5" t="s">
        <v>423</v>
      </c>
      <c r="C192" s="6" t="s">
        <v>424</v>
      </c>
      <c r="D192" s="7">
        <f t="shared" si="5"/>
        <v>10</v>
      </c>
      <c r="E192" s="4">
        <f>COUNTIF('200K OMAHA 5 K.O'!$D$8:$D$37,$C192)+COUNTIF(HORSE!$D$8:$D$26,$C192)+COUNTIF('SUPER K.O'!$D$8:$D$41,$C192)+COUNTIF('8 GAME'!$D$8:$D$21,$C192)+COUNTIF('100K OMAHA MYSTERY BOUNTY'!$D$8:$D$32,$C192)+COUNTIF('CHAMPIONSHIP HIGH ROLLER 200K'!$D$8:$D$72,$C192)+COUNTIF('PLO-NLH DEALER´S CHOICE PIJAMA'!$D$8:$D$27,$C192)+COUNTIF('Main Event SPT - Dia Final'!$D$8:$D$221,$C192)+COUNTIF('SECOND CHANCE'!$D$8:$D$86,$C192)+COUNTIF('HIGH ROLLER 50K'!$D$8:$D$38,$C192)+COUNTIF('OMAHA DEALER´S CHOICE'!$D$8:$D$30,$C192)</f>
        <v>1</v>
      </c>
      <c r="F192" s="8">
        <f>SUMIFS('200K OMAHA 5 K.O'!$C$8:$C$37,'200K OMAHA 5 K.O'!$D$8:$D$37,$C192)</f>
        <v>0</v>
      </c>
      <c r="G192" s="8">
        <f>SUMIFS(HORSE!$C$8:$C$26,HORSE!$D$8:$D$26,$C192)</f>
        <v>0</v>
      </c>
      <c r="H192" s="8">
        <f>SUMIFS('SUPER K.O'!$C$8:$C$41,'SUPER K.O'!$D$8:$D$41,$C192)</f>
        <v>0</v>
      </c>
      <c r="I192" s="8">
        <f>SUMIFS('8 GAME'!$C$8:$C$21,'8 GAME'!$D$8:$D$21,$C192)</f>
        <v>0</v>
      </c>
      <c r="J192" s="8">
        <f>SUMIFS('100K OMAHA MYSTERY BOUNTY'!$C$8:$C$32,'100K OMAHA MYSTERY BOUNTY'!$D$8:$D$32,$C192)</f>
        <v>0</v>
      </c>
      <c r="K192" s="8">
        <f>SUMIFS('CHAMPIONSHIP HIGH ROLLER 200K'!$C$8:$C$72,'CHAMPIONSHIP HIGH ROLLER 200K'!$D$8:$D$72,$C192)</f>
        <v>0</v>
      </c>
      <c r="L192" s="8">
        <f>SUMIFS('PLO-NLH DEALER´S CHOICE PIJAMA'!$C$8:$C$27,'PLO-NLH DEALER´S CHOICE PIJAMA'!$D$8:$D$27,$C192)</f>
        <v>0</v>
      </c>
      <c r="M192" s="8">
        <f>SUMIFS('Main Event SPT - Dia Final'!$C$8:$C$221,'Main Event SPT - Dia Final'!$D$8:$D$221,$C192)</f>
        <v>10</v>
      </c>
      <c r="N192" s="8">
        <f>SUMIFS('SECOND CHANCE'!$C$8:$C$86,'SECOND CHANCE'!$D$8:$D$86,$C192)</f>
        <v>0</v>
      </c>
      <c r="O192" s="8">
        <f>SUMIFS('HIGH ROLLER 50K'!$C$8:$C$38,'HIGH ROLLER 50K'!$D$8:$D$38,$C192)</f>
        <v>0</v>
      </c>
      <c r="P192" s="8">
        <f>SUMIFS('OMAHA DEALER´S CHOICE'!$C$8:$C$30,'OMAHA DEALER´S CHOICE'!$D$8:$D$30,$C192)</f>
        <v>0</v>
      </c>
    </row>
    <row r="193" spans="1:16">
      <c r="A193" s="4">
        <f t="shared" si="4"/>
        <v>173</v>
      </c>
      <c r="B193" s="5" t="s">
        <v>437</v>
      </c>
      <c r="C193" s="6" t="s">
        <v>438</v>
      </c>
      <c r="D193" s="7">
        <f t="shared" si="5"/>
        <v>10</v>
      </c>
      <c r="E193" s="4">
        <f>COUNTIF('200K OMAHA 5 K.O'!$D$8:$D$37,$C193)+COUNTIF(HORSE!$D$8:$D$26,$C193)+COUNTIF('SUPER K.O'!$D$8:$D$41,$C193)+COUNTIF('8 GAME'!$D$8:$D$21,$C193)+COUNTIF('100K OMAHA MYSTERY BOUNTY'!$D$8:$D$32,$C193)+COUNTIF('CHAMPIONSHIP HIGH ROLLER 200K'!$D$8:$D$72,$C193)+COUNTIF('PLO-NLH DEALER´S CHOICE PIJAMA'!$D$8:$D$27,$C193)+COUNTIF('Main Event SPT - Dia Final'!$D$8:$D$221,$C193)+COUNTIF('SECOND CHANCE'!$D$8:$D$86,$C193)+COUNTIF('HIGH ROLLER 50K'!$D$8:$D$38,$C193)+COUNTIF('OMAHA DEALER´S CHOICE'!$D$8:$D$30,$C193)</f>
        <v>1</v>
      </c>
      <c r="F193" s="8">
        <f>SUMIFS('200K OMAHA 5 K.O'!$C$8:$C$37,'200K OMAHA 5 K.O'!$D$8:$D$37,$C193)</f>
        <v>0</v>
      </c>
      <c r="G193" s="8">
        <f>SUMIFS(HORSE!$C$8:$C$26,HORSE!$D$8:$D$26,$C193)</f>
        <v>0</v>
      </c>
      <c r="H193" s="8">
        <f>SUMIFS('SUPER K.O'!$C$8:$C$41,'SUPER K.O'!$D$8:$D$41,$C193)</f>
        <v>0</v>
      </c>
      <c r="I193" s="8">
        <f>SUMIFS('8 GAME'!$C$8:$C$21,'8 GAME'!$D$8:$D$21,$C193)</f>
        <v>0</v>
      </c>
      <c r="J193" s="8">
        <f>SUMIFS('100K OMAHA MYSTERY BOUNTY'!$C$8:$C$32,'100K OMAHA MYSTERY BOUNTY'!$D$8:$D$32,$C193)</f>
        <v>0</v>
      </c>
      <c r="K193" s="8">
        <f>SUMIFS('CHAMPIONSHIP HIGH ROLLER 200K'!$C$8:$C$72,'CHAMPIONSHIP HIGH ROLLER 200K'!$D$8:$D$72,$C193)</f>
        <v>0</v>
      </c>
      <c r="L193" s="8">
        <f>SUMIFS('PLO-NLH DEALER´S CHOICE PIJAMA'!$C$8:$C$27,'PLO-NLH DEALER´S CHOICE PIJAMA'!$D$8:$D$27,$C193)</f>
        <v>0</v>
      </c>
      <c r="M193" s="8">
        <f>SUMIFS('Main Event SPT - Dia Final'!$C$8:$C$221,'Main Event SPT - Dia Final'!$D$8:$D$221,$C193)</f>
        <v>10</v>
      </c>
      <c r="N193" s="8">
        <f>SUMIFS('SECOND CHANCE'!$C$8:$C$86,'SECOND CHANCE'!$D$8:$D$86,$C193)</f>
        <v>0</v>
      </c>
      <c r="O193" s="8">
        <f>SUMIFS('HIGH ROLLER 50K'!$C$8:$C$38,'HIGH ROLLER 50K'!$D$8:$D$38,$C193)</f>
        <v>0</v>
      </c>
      <c r="P193" s="8">
        <f>SUMIFS('OMAHA DEALER´S CHOICE'!$C$8:$C$30,'OMAHA DEALER´S CHOICE'!$D$8:$D$30,$C193)</f>
        <v>0</v>
      </c>
    </row>
    <row r="194" spans="1:16">
      <c r="A194" s="4">
        <f t="shared" si="4"/>
        <v>173</v>
      </c>
      <c r="B194" s="5" t="s">
        <v>409</v>
      </c>
      <c r="C194" s="6" t="s">
        <v>410</v>
      </c>
      <c r="D194" s="7">
        <f t="shared" si="5"/>
        <v>10</v>
      </c>
      <c r="E194" s="4">
        <f>COUNTIF('200K OMAHA 5 K.O'!$D$8:$D$37,$C194)+COUNTIF(HORSE!$D$8:$D$26,$C194)+COUNTIF('SUPER K.O'!$D$8:$D$41,$C194)+COUNTIF('8 GAME'!$D$8:$D$21,$C194)+COUNTIF('100K OMAHA MYSTERY BOUNTY'!$D$8:$D$32,$C194)+COUNTIF('CHAMPIONSHIP HIGH ROLLER 200K'!$D$8:$D$72,$C194)+COUNTIF('PLO-NLH DEALER´S CHOICE PIJAMA'!$D$8:$D$27,$C194)+COUNTIF('Main Event SPT - Dia Final'!$D$8:$D$221,$C194)+COUNTIF('SECOND CHANCE'!$D$8:$D$86,$C194)+COUNTIF('HIGH ROLLER 50K'!$D$8:$D$38,$C194)+COUNTIF('OMAHA DEALER´S CHOICE'!$D$8:$D$30,$C194)</f>
        <v>1</v>
      </c>
      <c r="F194" s="8">
        <f>SUMIFS('200K OMAHA 5 K.O'!$C$8:$C$37,'200K OMAHA 5 K.O'!$D$8:$D$37,$C194)</f>
        <v>0</v>
      </c>
      <c r="G194" s="8">
        <f>SUMIFS(HORSE!$C$8:$C$26,HORSE!$D$8:$D$26,$C194)</f>
        <v>0</v>
      </c>
      <c r="H194" s="8">
        <f>SUMIFS('SUPER K.O'!$C$8:$C$41,'SUPER K.O'!$D$8:$D$41,$C194)</f>
        <v>0</v>
      </c>
      <c r="I194" s="8">
        <f>SUMIFS('8 GAME'!$C$8:$C$21,'8 GAME'!$D$8:$D$21,$C194)</f>
        <v>0</v>
      </c>
      <c r="J194" s="8">
        <f>SUMIFS('100K OMAHA MYSTERY BOUNTY'!$C$8:$C$32,'100K OMAHA MYSTERY BOUNTY'!$D$8:$D$32,$C194)</f>
        <v>0</v>
      </c>
      <c r="K194" s="8">
        <f>SUMIFS('CHAMPIONSHIP HIGH ROLLER 200K'!$C$8:$C$72,'CHAMPIONSHIP HIGH ROLLER 200K'!$D$8:$D$72,$C194)</f>
        <v>0</v>
      </c>
      <c r="L194" s="8">
        <f>SUMIFS('PLO-NLH DEALER´S CHOICE PIJAMA'!$C$8:$C$27,'PLO-NLH DEALER´S CHOICE PIJAMA'!$D$8:$D$27,$C194)</f>
        <v>0</v>
      </c>
      <c r="M194" s="8">
        <f>SUMIFS('Main Event SPT - Dia Final'!$C$8:$C$221,'Main Event SPT - Dia Final'!$D$8:$D$221,$C194)</f>
        <v>10</v>
      </c>
      <c r="N194" s="8">
        <f>SUMIFS('SECOND CHANCE'!$C$8:$C$86,'SECOND CHANCE'!$D$8:$D$86,$C194)</f>
        <v>0</v>
      </c>
      <c r="O194" s="8">
        <f>SUMIFS('HIGH ROLLER 50K'!$C$8:$C$38,'HIGH ROLLER 50K'!$D$8:$D$38,$C194)</f>
        <v>0</v>
      </c>
      <c r="P194" s="8">
        <f>SUMIFS('OMAHA DEALER´S CHOICE'!$C$8:$C$30,'OMAHA DEALER´S CHOICE'!$D$8:$D$30,$C194)</f>
        <v>0</v>
      </c>
    </row>
    <row r="195" spans="1:16">
      <c r="A195" s="4">
        <f t="shared" si="4"/>
        <v>173</v>
      </c>
      <c r="B195" s="5" t="s">
        <v>403</v>
      </c>
      <c r="C195" s="6" t="s">
        <v>404</v>
      </c>
      <c r="D195" s="7">
        <f t="shared" si="5"/>
        <v>10</v>
      </c>
      <c r="E195" s="4">
        <f>COUNTIF('200K OMAHA 5 K.O'!$D$8:$D$37,$C195)+COUNTIF(HORSE!$D$8:$D$26,$C195)+COUNTIF('SUPER K.O'!$D$8:$D$41,$C195)+COUNTIF('8 GAME'!$D$8:$D$21,$C195)+COUNTIF('100K OMAHA MYSTERY BOUNTY'!$D$8:$D$32,$C195)+COUNTIF('CHAMPIONSHIP HIGH ROLLER 200K'!$D$8:$D$72,$C195)+COUNTIF('PLO-NLH DEALER´S CHOICE PIJAMA'!$D$8:$D$27,$C195)+COUNTIF('Main Event SPT - Dia Final'!$D$8:$D$221,$C195)+COUNTIF('SECOND CHANCE'!$D$8:$D$86,$C195)+COUNTIF('HIGH ROLLER 50K'!$D$8:$D$38,$C195)+COUNTIF('OMAHA DEALER´S CHOICE'!$D$8:$D$30,$C195)</f>
        <v>1</v>
      </c>
      <c r="F195" s="8">
        <f>SUMIFS('200K OMAHA 5 K.O'!$C$8:$C$37,'200K OMAHA 5 K.O'!$D$8:$D$37,$C195)</f>
        <v>0</v>
      </c>
      <c r="G195" s="8">
        <f>SUMIFS(HORSE!$C$8:$C$26,HORSE!$D$8:$D$26,$C195)</f>
        <v>0</v>
      </c>
      <c r="H195" s="8">
        <f>SUMIFS('SUPER K.O'!$C$8:$C$41,'SUPER K.O'!$D$8:$D$41,$C195)</f>
        <v>0</v>
      </c>
      <c r="I195" s="8">
        <f>SUMIFS('8 GAME'!$C$8:$C$21,'8 GAME'!$D$8:$D$21,$C195)</f>
        <v>0</v>
      </c>
      <c r="J195" s="8">
        <f>SUMIFS('100K OMAHA MYSTERY BOUNTY'!$C$8:$C$32,'100K OMAHA MYSTERY BOUNTY'!$D$8:$D$32,$C195)</f>
        <v>0</v>
      </c>
      <c r="K195" s="8">
        <f>SUMIFS('CHAMPIONSHIP HIGH ROLLER 200K'!$C$8:$C$72,'CHAMPIONSHIP HIGH ROLLER 200K'!$D$8:$D$72,$C195)</f>
        <v>0</v>
      </c>
      <c r="L195" s="8">
        <f>SUMIFS('PLO-NLH DEALER´S CHOICE PIJAMA'!$C$8:$C$27,'PLO-NLH DEALER´S CHOICE PIJAMA'!$D$8:$D$27,$C195)</f>
        <v>0</v>
      </c>
      <c r="M195" s="8">
        <f>SUMIFS('Main Event SPT - Dia Final'!$C$8:$C$221,'Main Event SPT - Dia Final'!$D$8:$D$221,$C195)</f>
        <v>10</v>
      </c>
      <c r="N195" s="8">
        <f>SUMIFS('SECOND CHANCE'!$C$8:$C$86,'SECOND CHANCE'!$D$8:$D$86,$C195)</f>
        <v>0</v>
      </c>
      <c r="O195" s="8">
        <f>SUMIFS('HIGH ROLLER 50K'!$C$8:$C$38,'HIGH ROLLER 50K'!$D$8:$D$38,$C195)</f>
        <v>0</v>
      </c>
      <c r="P195" s="8">
        <f>SUMIFS('OMAHA DEALER´S CHOICE'!$C$8:$C$30,'OMAHA DEALER´S CHOICE'!$D$8:$D$30,$C195)</f>
        <v>0</v>
      </c>
    </row>
    <row r="196" spans="1:16">
      <c r="A196" s="4">
        <f t="shared" si="4"/>
        <v>173</v>
      </c>
      <c r="B196" s="5" t="s">
        <v>427</v>
      </c>
      <c r="C196" s="6" t="s">
        <v>428</v>
      </c>
      <c r="D196" s="7">
        <f t="shared" si="5"/>
        <v>10</v>
      </c>
      <c r="E196" s="4">
        <f>COUNTIF('200K OMAHA 5 K.O'!$D$8:$D$37,$C196)+COUNTIF(HORSE!$D$8:$D$26,$C196)+COUNTIF('SUPER K.O'!$D$8:$D$41,$C196)+COUNTIF('8 GAME'!$D$8:$D$21,$C196)+COUNTIF('100K OMAHA MYSTERY BOUNTY'!$D$8:$D$32,$C196)+COUNTIF('CHAMPIONSHIP HIGH ROLLER 200K'!$D$8:$D$72,$C196)+COUNTIF('PLO-NLH DEALER´S CHOICE PIJAMA'!$D$8:$D$27,$C196)+COUNTIF('Main Event SPT - Dia Final'!$D$8:$D$221,$C196)+COUNTIF('SECOND CHANCE'!$D$8:$D$86,$C196)+COUNTIF('HIGH ROLLER 50K'!$D$8:$D$38,$C196)+COUNTIF('OMAHA DEALER´S CHOICE'!$D$8:$D$30,$C196)</f>
        <v>1</v>
      </c>
      <c r="F196" s="8">
        <f>SUMIFS('200K OMAHA 5 K.O'!$C$8:$C$37,'200K OMAHA 5 K.O'!$D$8:$D$37,$C196)</f>
        <v>0</v>
      </c>
      <c r="G196" s="8">
        <f>SUMIFS(HORSE!$C$8:$C$26,HORSE!$D$8:$D$26,$C196)</f>
        <v>0</v>
      </c>
      <c r="H196" s="8">
        <f>SUMIFS('SUPER K.O'!$C$8:$C$41,'SUPER K.O'!$D$8:$D$41,$C196)</f>
        <v>0</v>
      </c>
      <c r="I196" s="8">
        <f>SUMIFS('8 GAME'!$C$8:$C$21,'8 GAME'!$D$8:$D$21,$C196)</f>
        <v>0</v>
      </c>
      <c r="J196" s="8">
        <f>SUMIFS('100K OMAHA MYSTERY BOUNTY'!$C$8:$C$32,'100K OMAHA MYSTERY BOUNTY'!$D$8:$D$32,$C196)</f>
        <v>0</v>
      </c>
      <c r="K196" s="8">
        <f>SUMIFS('CHAMPIONSHIP HIGH ROLLER 200K'!$C$8:$C$72,'CHAMPIONSHIP HIGH ROLLER 200K'!$D$8:$D$72,$C196)</f>
        <v>0</v>
      </c>
      <c r="L196" s="8">
        <f>SUMIFS('PLO-NLH DEALER´S CHOICE PIJAMA'!$C$8:$C$27,'PLO-NLH DEALER´S CHOICE PIJAMA'!$D$8:$D$27,$C196)</f>
        <v>0</v>
      </c>
      <c r="M196" s="8">
        <f>SUMIFS('Main Event SPT - Dia Final'!$C$8:$C$221,'Main Event SPT - Dia Final'!$D$8:$D$221,$C196)</f>
        <v>10</v>
      </c>
      <c r="N196" s="8">
        <f>SUMIFS('SECOND CHANCE'!$C$8:$C$86,'SECOND CHANCE'!$D$8:$D$86,$C196)</f>
        <v>0</v>
      </c>
      <c r="O196" s="8">
        <f>SUMIFS('HIGH ROLLER 50K'!$C$8:$C$38,'HIGH ROLLER 50K'!$D$8:$D$38,$C196)</f>
        <v>0</v>
      </c>
      <c r="P196" s="8">
        <f>SUMIFS('OMAHA DEALER´S CHOICE'!$C$8:$C$30,'OMAHA DEALER´S CHOICE'!$D$8:$D$30,$C196)</f>
        <v>0</v>
      </c>
    </row>
    <row r="197" spans="1:16">
      <c r="A197" s="4">
        <f t="shared" ref="A197:A245" si="6">RANK(D197,$D$5:$D$245)</f>
        <v>173</v>
      </c>
      <c r="B197" s="5" t="s">
        <v>349</v>
      </c>
      <c r="C197" s="6" t="s">
        <v>350</v>
      </c>
      <c r="D197" s="7">
        <f t="shared" ref="D197:D245" si="7">SUM(F197:P197)</f>
        <v>10</v>
      </c>
      <c r="E197" s="4">
        <f>COUNTIF('200K OMAHA 5 K.O'!$D$8:$D$37,$C197)+COUNTIF(HORSE!$D$8:$D$26,$C197)+COUNTIF('SUPER K.O'!$D$8:$D$41,$C197)+COUNTIF('8 GAME'!$D$8:$D$21,$C197)+COUNTIF('100K OMAHA MYSTERY BOUNTY'!$D$8:$D$32,$C197)+COUNTIF('CHAMPIONSHIP HIGH ROLLER 200K'!$D$8:$D$72,$C197)+COUNTIF('PLO-NLH DEALER´S CHOICE PIJAMA'!$D$8:$D$27,$C197)+COUNTIF('Main Event SPT - Dia Final'!$D$8:$D$221,$C197)+COUNTIF('SECOND CHANCE'!$D$8:$D$86,$C197)+COUNTIF('HIGH ROLLER 50K'!$D$8:$D$38,$C197)+COUNTIF('OMAHA DEALER´S CHOICE'!$D$8:$D$30,$C197)</f>
        <v>1</v>
      </c>
      <c r="F197" s="8">
        <f>SUMIFS('200K OMAHA 5 K.O'!$C$8:$C$37,'200K OMAHA 5 K.O'!$D$8:$D$37,$C197)</f>
        <v>0</v>
      </c>
      <c r="G197" s="8">
        <f>SUMIFS(HORSE!$C$8:$C$26,HORSE!$D$8:$D$26,$C197)</f>
        <v>0</v>
      </c>
      <c r="H197" s="8">
        <f>SUMIFS('SUPER K.O'!$C$8:$C$41,'SUPER K.O'!$D$8:$D$41,$C197)</f>
        <v>0</v>
      </c>
      <c r="I197" s="8">
        <f>SUMIFS('8 GAME'!$C$8:$C$21,'8 GAME'!$D$8:$D$21,$C197)</f>
        <v>0</v>
      </c>
      <c r="J197" s="8">
        <f>SUMIFS('100K OMAHA MYSTERY BOUNTY'!$C$8:$C$32,'100K OMAHA MYSTERY BOUNTY'!$D$8:$D$32,$C197)</f>
        <v>0</v>
      </c>
      <c r="K197" s="8">
        <f>SUMIFS('CHAMPIONSHIP HIGH ROLLER 200K'!$C$8:$C$72,'CHAMPIONSHIP HIGH ROLLER 200K'!$D$8:$D$72,$C197)</f>
        <v>0</v>
      </c>
      <c r="L197" s="8">
        <f>SUMIFS('PLO-NLH DEALER´S CHOICE PIJAMA'!$C$8:$C$27,'PLO-NLH DEALER´S CHOICE PIJAMA'!$D$8:$D$27,$C197)</f>
        <v>0</v>
      </c>
      <c r="M197" s="8">
        <f>SUMIFS('Main Event SPT - Dia Final'!$C$8:$C$221,'Main Event SPT - Dia Final'!$D$8:$D$221,$C197)</f>
        <v>10</v>
      </c>
      <c r="N197" s="8">
        <f>SUMIFS('SECOND CHANCE'!$C$8:$C$86,'SECOND CHANCE'!$D$8:$D$86,$C197)</f>
        <v>0</v>
      </c>
      <c r="O197" s="8">
        <f>SUMIFS('HIGH ROLLER 50K'!$C$8:$C$38,'HIGH ROLLER 50K'!$D$8:$D$38,$C197)</f>
        <v>0</v>
      </c>
      <c r="P197" s="8">
        <f>SUMIFS('OMAHA DEALER´S CHOICE'!$C$8:$C$30,'OMAHA DEALER´S CHOICE'!$D$8:$D$30,$C197)</f>
        <v>0</v>
      </c>
    </row>
    <row r="198" spans="1:16">
      <c r="A198" s="4">
        <f t="shared" si="6"/>
        <v>173</v>
      </c>
      <c r="B198" s="5" t="s">
        <v>459</v>
      </c>
      <c r="C198" s="6" t="s">
        <v>460</v>
      </c>
      <c r="D198" s="7">
        <f t="shared" si="7"/>
        <v>10</v>
      </c>
      <c r="E198" s="4">
        <f>COUNTIF('200K OMAHA 5 K.O'!$D$8:$D$37,$C198)+COUNTIF(HORSE!$D$8:$D$26,$C198)+COUNTIF('SUPER K.O'!$D$8:$D$41,$C198)+COUNTIF('8 GAME'!$D$8:$D$21,$C198)+COUNTIF('100K OMAHA MYSTERY BOUNTY'!$D$8:$D$32,$C198)+COUNTIF('CHAMPIONSHIP HIGH ROLLER 200K'!$D$8:$D$72,$C198)+COUNTIF('PLO-NLH DEALER´S CHOICE PIJAMA'!$D$8:$D$27,$C198)+COUNTIF('Main Event SPT - Dia Final'!$D$8:$D$221,$C198)+COUNTIF('SECOND CHANCE'!$D$8:$D$86,$C198)+COUNTIF('HIGH ROLLER 50K'!$D$8:$D$38,$C198)+COUNTIF('OMAHA DEALER´S CHOICE'!$D$8:$D$30,$C198)</f>
        <v>1</v>
      </c>
      <c r="F198" s="8">
        <f>SUMIFS('200K OMAHA 5 K.O'!$C$8:$C$37,'200K OMAHA 5 K.O'!$D$8:$D$37,$C198)</f>
        <v>0</v>
      </c>
      <c r="G198" s="8">
        <f>SUMIFS(HORSE!$C$8:$C$26,HORSE!$D$8:$D$26,$C198)</f>
        <v>0</v>
      </c>
      <c r="H198" s="8">
        <f>SUMIFS('SUPER K.O'!$C$8:$C$41,'SUPER K.O'!$D$8:$D$41,$C198)</f>
        <v>0</v>
      </c>
      <c r="I198" s="8">
        <f>SUMIFS('8 GAME'!$C$8:$C$21,'8 GAME'!$D$8:$D$21,$C198)</f>
        <v>0</v>
      </c>
      <c r="J198" s="8">
        <f>SUMIFS('100K OMAHA MYSTERY BOUNTY'!$C$8:$C$32,'100K OMAHA MYSTERY BOUNTY'!$D$8:$D$32,$C198)</f>
        <v>0</v>
      </c>
      <c r="K198" s="8">
        <f>SUMIFS('CHAMPIONSHIP HIGH ROLLER 200K'!$C$8:$C$72,'CHAMPIONSHIP HIGH ROLLER 200K'!$D$8:$D$72,$C198)</f>
        <v>0</v>
      </c>
      <c r="L198" s="8">
        <f>SUMIFS('PLO-NLH DEALER´S CHOICE PIJAMA'!$C$8:$C$27,'PLO-NLH DEALER´S CHOICE PIJAMA'!$D$8:$D$27,$C198)</f>
        <v>0</v>
      </c>
      <c r="M198" s="8">
        <f>SUMIFS('Main Event SPT - Dia Final'!$C$8:$C$221,'Main Event SPT - Dia Final'!$D$8:$D$221,$C198)</f>
        <v>10</v>
      </c>
      <c r="N198" s="8">
        <f>SUMIFS('SECOND CHANCE'!$C$8:$C$86,'SECOND CHANCE'!$D$8:$D$86,$C198)</f>
        <v>0</v>
      </c>
      <c r="O198" s="8">
        <f>SUMIFS('HIGH ROLLER 50K'!$C$8:$C$38,'HIGH ROLLER 50K'!$D$8:$D$38,$C198)</f>
        <v>0</v>
      </c>
      <c r="P198" s="8">
        <f>SUMIFS('OMAHA DEALER´S CHOICE'!$C$8:$C$30,'OMAHA DEALER´S CHOICE'!$D$8:$D$30,$C198)</f>
        <v>0</v>
      </c>
    </row>
    <row r="199" spans="1:16">
      <c r="A199" s="4">
        <f t="shared" si="6"/>
        <v>173</v>
      </c>
      <c r="B199" s="5" t="s">
        <v>343</v>
      </c>
      <c r="C199" s="6" t="s">
        <v>344</v>
      </c>
      <c r="D199" s="7">
        <f t="shared" si="7"/>
        <v>10</v>
      </c>
      <c r="E199" s="4">
        <f>COUNTIF('200K OMAHA 5 K.O'!$D$8:$D$37,$C199)+COUNTIF(HORSE!$D$8:$D$26,$C199)+COUNTIF('SUPER K.O'!$D$8:$D$41,$C199)+COUNTIF('8 GAME'!$D$8:$D$21,$C199)+COUNTIF('100K OMAHA MYSTERY BOUNTY'!$D$8:$D$32,$C199)+COUNTIF('CHAMPIONSHIP HIGH ROLLER 200K'!$D$8:$D$72,$C199)+COUNTIF('PLO-NLH DEALER´S CHOICE PIJAMA'!$D$8:$D$27,$C199)+COUNTIF('Main Event SPT - Dia Final'!$D$8:$D$221,$C199)+COUNTIF('SECOND CHANCE'!$D$8:$D$86,$C199)+COUNTIF('HIGH ROLLER 50K'!$D$8:$D$38,$C199)+COUNTIF('OMAHA DEALER´S CHOICE'!$D$8:$D$30,$C199)</f>
        <v>1</v>
      </c>
      <c r="F199" s="8">
        <f>SUMIFS('200K OMAHA 5 K.O'!$C$8:$C$37,'200K OMAHA 5 K.O'!$D$8:$D$37,$C199)</f>
        <v>0</v>
      </c>
      <c r="G199" s="8">
        <f>SUMIFS(HORSE!$C$8:$C$26,HORSE!$D$8:$D$26,$C199)</f>
        <v>0</v>
      </c>
      <c r="H199" s="8">
        <f>SUMIFS('SUPER K.O'!$C$8:$C$41,'SUPER K.O'!$D$8:$D$41,$C199)</f>
        <v>0</v>
      </c>
      <c r="I199" s="8">
        <f>SUMIFS('8 GAME'!$C$8:$C$21,'8 GAME'!$D$8:$D$21,$C199)</f>
        <v>0</v>
      </c>
      <c r="J199" s="8">
        <f>SUMIFS('100K OMAHA MYSTERY BOUNTY'!$C$8:$C$32,'100K OMAHA MYSTERY BOUNTY'!$D$8:$D$32,$C199)</f>
        <v>0</v>
      </c>
      <c r="K199" s="8">
        <f>SUMIFS('CHAMPIONSHIP HIGH ROLLER 200K'!$C$8:$C$72,'CHAMPIONSHIP HIGH ROLLER 200K'!$D$8:$D$72,$C199)</f>
        <v>0</v>
      </c>
      <c r="L199" s="8">
        <f>SUMIFS('PLO-NLH DEALER´S CHOICE PIJAMA'!$C$8:$C$27,'PLO-NLH DEALER´S CHOICE PIJAMA'!$D$8:$D$27,$C199)</f>
        <v>0</v>
      </c>
      <c r="M199" s="8">
        <f>SUMIFS('Main Event SPT - Dia Final'!$C$8:$C$221,'Main Event SPT - Dia Final'!$D$8:$D$221,$C199)</f>
        <v>10</v>
      </c>
      <c r="N199" s="8">
        <f>SUMIFS('SECOND CHANCE'!$C$8:$C$86,'SECOND CHANCE'!$D$8:$D$86,$C199)</f>
        <v>0</v>
      </c>
      <c r="O199" s="8">
        <f>SUMIFS('HIGH ROLLER 50K'!$C$8:$C$38,'HIGH ROLLER 50K'!$D$8:$D$38,$C199)</f>
        <v>0</v>
      </c>
      <c r="P199" s="8">
        <f>SUMIFS('OMAHA DEALER´S CHOICE'!$C$8:$C$30,'OMAHA DEALER´S CHOICE'!$D$8:$D$30,$C199)</f>
        <v>0</v>
      </c>
    </row>
    <row r="200" spans="1:16">
      <c r="A200" s="4">
        <f t="shared" si="6"/>
        <v>173</v>
      </c>
      <c r="B200" s="5" t="s">
        <v>457</v>
      </c>
      <c r="C200" s="6" t="s">
        <v>458</v>
      </c>
      <c r="D200" s="7">
        <f t="shared" si="7"/>
        <v>10</v>
      </c>
      <c r="E200" s="4">
        <f>COUNTIF('200K OMAHA 5 K.O'!$D$8:$D$37,$C200)+COUNTIF(HORSE!$D$8:$D$26,$C200)+COUNTIF('SUPER K.O'!$D$8:$D$41,$C200)+COUNTIF('8 GAME'!$D$8:$D$21,$C200)+COUNTIF('100K OMAHA MYSTERY BOUNTY'!$D$8:$D$32,$C200)+COUNTIF('CHAMPIONSHIP HIGH ROLLER 200K'!$D$8:$D$72,$C200)+COUNTIF('PLO-NLH DEALER´S CHOICE PIJAMA'!$D$8:$D$27,$C200)+COUNTIF('Main Event SPT - Dia Final'!$D$8:$D$221,$C200)+COUNTIF('SECOND CHANCE'!$D$8:$D$86,$C200)+COUNTIF('HIGH ROLLER 50K'!$D$8:$D$38,$C200)+COUNTIF('OMAHA DEALER´S CHOICE'!$D$8:$D$30,$C200)</f>
        <v>1</v>
      </c>
      <c r="F200" s="8">
        <f>SUMIFS('200K OMAHA 5 K.O'!$C$8:$C$37,'200K OMAHA 5 K.O'!$D$8:$D$37,$C200)</f>
        <v>0</v>
      </c>
      <c r="G200" s="8">
        <f>SUMIFS(HORSE!$C$8:$C$26,HORSE!$D$8:$D$26,$C200)</f>
        <v>0</v>
      </c>
      <c r="H200" s="8">
        <f>SUMIFS('SUPER K.O'!$C$8:$C$41,'SUPER K.O'!$D$8:$D$41,$C200)</f>
        <v>0</v>
      </c>
      <c r="I200" s="8">
        <f>SUMIFS('8 GAME'!$C$8:$C$21,'8 GAME'!$D$8:$D$21,$C200)</f>
        <v>0</v>
      </c>
      <c r="J200" s="8">
        <f>SUMIFS('100K OMAHA MYSTERY BOUNTY'!$C$8:$C$32,'100K OMAHA MYSTERY BOUNTY'!$D$8:$D$32,$C200)</f>
        <v>0</v>
      </c>
      <c r="K200" s="8">
        <f>SUMIFS('CHAMPIONSHIP HIGH ROLLER 200K'!$C$8:$C$72,'CHAMPIONSHIP HIGH ROLLER 200K'!$D$8:$D$72,$C200)</f>
        <v>0</v>
      </c>
      <c r="L200" s="8">
        <f>SUMIFS('PLO-NLH DEALER´S CHOICE PIJAMA'!$C$8:$C$27,'PLO-NLH DEALER´S CHOICE PIJAMA'!$D$8:$D$27,$C200)</f>
        <v>0</v>
      </c>
      <c r="M200" s="8">
        <f>SUMIFS('Main Event SPT - Dia Final'!$C$8:$C$221,'Main Event SPT - Dia Final'!$D$8:$D$221,$C200)</f>
        <v>10</v>
      </c>
      <c r="N200" s="8">
        <f>SUMIFS('SECOND CHANCE'!$C$8:$C$86,'SECOND CHANCE'!$D$8:$D$86,$C200)</f>
        <v>0</v>
      </c>
      <c r="O200" s="8">
        <f>SUMIFS('HIGH ROLLER 50K'!$C$8:$C$38,'HIGH ROLLER 50K'!$D$8:$D$38,$C200)</f>
        <v>0</v>
      </c>
      <c r="P200" s="8">
        <f>SUMIFS('OMAHA DEALER´S CHOICE'!$C$8:$C$30,'OMAHA DEALER´S CHOICE'!$D$8:$D$30,$C200)</f>
        <v>0</v>
      </c>
    </row>
    <row r="201" spans="1:16">
      <c r="A201" s="4">
        <f t="shared" si="6"/>
        <v>173</v>
      </c>
      <c r="B201" s="5" t="s">
        <v>385</v>
      </c>
      <c r="C201" s="6" t="s">
        <v>386</v>
      </c>
      <c r="D201" s="7">
        <f t="shared" si="7"/>
        <v>10</v>
      </c>
      <c r="E201" s="4">
        <f>COUNTIF('200K OMAHA 5 K.O'!$D$8:$D$37,$C201)+COUNTIF(HORSE!$D$8:$D$26,$C201)+COUNTIF('SUPER K.O'!$D$8:$D$41,$C201)+COUNTIF('8 GAME'!$D$8:$D$21,$C201)+COUNTIF('100K OMAHA MYSTERY BOUNTY'!$D$8:$D$32,$C201)+COUNTIF('CHAMPIONSHIP HIGH ROLLER 200K'!$D$8:$D$72,$C201)+COUNTIF('PLO-NLH DEALER´S CHOICE PIJAMA'!$D$8:$D$27,$C201)+COUNTIF('Main Event SPT - Dia Final'!$D$8:$D$221,$C201)+COUNTIF('SECOND CHANCE'!$D$8:$D$86,$C201)+COUNTIF('HIGH ROLLER 50K'!$D$8:$D$38,$C201)+COUNTIF('OMAHA DEALER´S CHOICE'!$D$8:$D$30,$C201)</f>
        <v>1</v>
      </c>
      <c r="F201" s="8">
        <f>SUMIFS('200K OMAHA 5 K.O'!$C$8:$C$37,'200K OMAHA 5 K.O'!$D$8:$D$37,$C201)</f>
        <v>0</v>
      </c>
      <c r="G201" s="8">
        <f>SUMIFS(HORSE!$C$8:$C$26,HORSE!$D$8:$D$26,$C201)</f>
        <v>0</v>
      </c>
      <c r="H201" s="8">
        <f>SUMIFS('SUPER K.O'!$C$8:$C$41,'SUPER K.O'!$D$8:$D$41,$C201)</f>
        <v>0</v>
      </c>
      <c r="I201" s="8">
        <f>SUMIFS('8 GAME'!$C$8:$C$21,'8 GAME'!$D$8:$D$21,$C201)</f>
        <v>0</v>
      </c>
      <c r="J201" s="8">
        <f>SUMIFS('100K OMAHA MYSTERY BOUNTY'!$C$8:$C$32,'100K OMAHA MYSTERY BOUNTY'!$D$8:$D$32,$C201)</f>
        <v>0</v>
      </c>
      <c r="K201" s="8">
        <f>SUMIFS('CHAMPIONSHIP HIGH ROLLER 200K'!$C$8:$C$72,'CHAMPIONSHIP HIGH ROLLER 200K'!$D$8:$D$72,$C201)</f>
        <v>0</v>
      </c>
      <c r="L201" s="8">
        <f>SUMIFS('PLO-NLH DEALER´S CHOICE PIJAMA'!$C$8:$C$27,'PLO-NLH DEALER´S CHOICE PIJAMA'!$D$8:$D$27,$C201)</f>
        <v>0</v>
      </c>
      <c r="M201" s="8">
        <f>SUMIFS('Main Event SPT - Dia Final'!$C$8:$C$221,'Main Event SPT - Dia Final'!$D$8:$D$221,$C201)</f>
        <v>10</v>
      </c>
      <c r="N201" s="8">
        <f>SUMIFS('SECOND CHANCE'!$C$8:$C$86,'SECOND CHANCE'!$D$8:$D$86,$C201)</f>
        <v>0</v>
      </c>
      <c r="O201" s="8">
        <f>SUMIFS('HIGH ROLLER 50K'!$C$8:$C$38,'HIGH ROLLER 50K'!$D$8:$D$38,$C201)</f>
        <v>0</v>
      </c>
      <c r="P201" s="8">
        <f>SUMIFS('OMAHA DEALER´S CHOICE'!$C$8:$C$30,'OMAHA DEALER´S CHOICE'!$D$8:$D$30,$C201)</f>
        <v>0</v>
      </c>
    </row>
    <row r="202" spans="1:16">
      <c r="A202" s="4">
        <f t="shared" si="6"/>
        <v>173</v>
      </c>
      <c r="B202" s="5" t="s">
        <v>339</v>
      </c>
      <c r="C202" s="6" t="s">
        <v>340</v>
      </c>
      <c r="D202" s="7">
        <f t="shared" si="7"/>
        <v>10</v>
      </c>
      <c r="E202" s="4">
        <f>COUNTIF('200K OMAHA 5 K.O'!$D$8:$D$37,$C202)+COUNTIF(HORSE!$D$8:$D$26,$C202)+COUNTIF('SUPER K.O'!$D$8:$D$41,$C202)+COUNTIF('8 GAME'!$D$8:$D$21,$C202)+COUNTIF('100K OMAHA MYSTERY BOUNTY'!$D$8:$D$32,$C202)+COUNTIF('CHAMPIONSHIP HIGH ROLLER 200K'!$D$8:$D$72,$C202)+COUNTIF('PLO-NLH DEALER´S CHOICE PIJAMA'!$D$8:$D$27,$C202)+COUNTIF('Main Event SPT - Dia Final'!$D$8:$D$221,$C202)+COUNTIF('SECOND CHANCE'!$D$8:$D$86,$C202)+COUNTIF('HIGH ROLLER 50K'!$D$8:$D$38,$C202)+COUNTIF('OMAHA DEALER´S CHOICE'!$D$8:$D$30,$C202)</f>
        <v>1</v>
      </c>
      <c r="F202" s="8">
        <f>SUMIFS('200K OMAHA 5 K.O'!$C$8:$C$37,'200K OMAHA 5 K.O'!$D$8:$D$37,$C202)</f>
        <v>0</v>
      </c>
      <c r="G202" s="8">
        <f>SUMIFS(HORSE!$C$8:$C$26,HORSE!$D$8:$D$26,$C202)</f>
        <v>0</v>
      </c>
      <c r="H202" s="8">
        <f>SUMIFS('SUPER K.O'!$C$8:$C$41,'SUPER K.O'!$D$8:$D$41,$C202)</f>
        <v>0</v>
      </c>
      <c r="I202" s="8">
        <f>SUMIFS('8 GAME'!$C$8:$C$21,'8 GAME'!$D$8:$D$21,$C202)</f>
        <v>0</v>
      </c>
      <c r="J202" s="8">
        <f>SUMIFS('100K OMAHA MYSTERY BOUNTY'!$C$8:$C$32,'100K OMAHA MYSTERY BOUNTY'!$D$8:$D$32,$C202)</f>
        <v>0</v>
      </c>
      <c r="K202" s="8">
        <f>SUMIFS('CHAMPIONSHIP HIGH ROLLER 200K'!$C$8:$C$72,'CHAMPIONSHIP HIGH ROLLER 200K'!$D$8:$D$72,$C202)</f>
        <v>0</v>
      </c>
      <c r="L202" s="8">
        <f>SUMIFS('PLO-NLH DEALER´S CHOICE PIJAMA'!$C$8:$C$27,'PLO-NLH DEALER´S CHOICE PIJAMA'!$D$8:$D$27,$C202)</f>
        <v>0</v>
      </c>
      <c r="M202" s="8">
        <f>SUMIFS('Main Event SPT - Dia Final'!$C$8:$C$221,'Main Event SPT - Dia Final'!$D$8:$D$221,$C202)</f>
        <v>10</v>
      </c>
      <c r="N202" s="8">
        <f>SUMIFS('SECOND CHANCE'!$C$8:$C$86,'SECOND CHANCE'!$D$8:$D$86,$C202)</f>
        <v>0</v>
      </c>
      <c r="O202" s="8">
        <f>SUMIFS('HIGH ROLLER 50K'!$C$8:$C$38,'HIGH ROLLER 50K'!$D$8:$D$38,$C202)</f>
        <v>0</v>
      </c>
      <c r="P202" s="8">
        <f>SUMIFS('OMAHA DEALER´S CHOICE'!$C$8:$C$30,'OMAHA DEALER´S CHOICE'!$D$8:$D$30,$C202)</f>
        <v>0</v>
      </c>
    </row>
    <row r="203" spans="1:16">
      <c r="A203" s="4">
        <f t="shared" si="6"/>
        <v>173</v>
      </c>
      <c r="B203" s="5" t="s">
        <v>357</v>
      </c>
      <c r="C203" s="6" t="s">
        <v>358</v>
      </c>
      <c r="D203" s="7">
        <f t="shared" si="7"/>
        <v>10</v>
      </c>
      <c r="E203" s="4">
        <f>COUNTIF('200K OMAHA 5 K.O'!$D$8:$D$37,$C203)+COUNTIF(HORSE!$D$8:$D$26,$C203)+COUNTIF('SUPER K.O'!$D$8:$D$41,$C203)+COUNTIF('8 GAME'!$D$8:$D$21,$C203)+COUNTIF('100K OMAHA MYSTERY BOUNTY'!$D$8:$D$32,$C203)+COUNTIF('CHAMPIONSHIP HIGH ROLLER 200K'!$D$8:$D$72,$C203)+COUNTIF('PLO-NLH DEALER´S CHOICE PIJAMA'!$D$8:$D$27,$C203)+COUNTIF('Main Event SPT - Dia Final'!$D$8:$D$221,$C203)+COUNTIF('SECOND CHANCE'!$D$8:$D$86,$C203)+COUNTIF('HIGH ROLLER 50K'!$D$8:$D$38,$C203)+COUNTIF('OMAHA DEALER´S CHOICE'!$D$8:$D$30,$C203)</f>
        <v>1</v>
      </c>
      <c r="F203" s="8">
        <f>SUMIFS('200K OMAHA 5 K.O'!$C$8:$C$37,'200K OMAHA 5 K.O'!$D$8:$D$37,$C203)</f>
        <v>0</v>
      </c>
      <c r="G203" s="8">
        <f>SUMIFS(HORSE!$C$8:$C$26,HORSE!$D$8:$D$26,$C203)</f>
        <v>0</v>
      </c>
      <c r="H203" s="8">
        <f>SUMIFS('SUPER K.O'!$C$8:$C$41,'SUPER K.O'!$D$8:$D$41,$C203)</f>
        <v>0</v>
      </c>
      <c r="I203" s="8">
        <f>SUMIFS('8 GAME'!$C$8:$C$21,'8 GAME'!$D$8:$D$21,$C203)</f>
        <v>0</v>
      </c>
      <c r="J203" s="8">
        <f>SUMIFS('100K OMAHA MYSTERY BOUNTY'!$C$8:$C$32,'100K OMAHA MYSTERY BOUNTY'!$D$8:$D$32,$C203)</f>
        <v>0</v>
      </c>
      <c r="K203" s="8">
        <f>SUMIFS('CHAMPIONSHIP HIGH ROLLER 200K'!$C$8:$C$72,'CHAMPIONSHIP HIGH ROLLER 200K'!$D$8:$D$72,$C203)</f>
        <v>0</v>
      </c>
      <c r="L203" s="8">
        <f>SUMIFS('PLO-NLH DEALER´S CHOICE PIJAMA'!$C$8:$C$27,'PLO-NLH DEALER´S CHOICE PIJAMA'!$D$8:$D$27,$C203)</f>
        <v>0</v>
      </c>
      <c r="M203" s="8">
        <f>SUMIFS('Main Event SPT - Dia Final'!$C$8:$C$221,'Main Event SPT - Dia Final'!$D$8:$D$221,$C203)</f>
        <v>10</v>
      </c>
      <c r="N203" s="8">
        <f>SUMIFS('SECOND CHANCE'!$C$8:$C$86,'SECOND CHANCE'!$D$8:$D$86,$C203)</f>
        <v>0</v>
      </c>
      <c r="O203" s="8">
        <f>SUMIFS('HIGH ROLLER 50K'!$C$8:$C$38,'HIGH ROLLER 50K'!$D$8:$D$38,$C203)</f>
        <v>0</v>
      </c>
      <c r="P203" s="8">
        <f>SUMIFS('OMAHA DEALER´S CHOICE'!$C$8:$C$30,'OMAHA DEALER´S CHOICE'!$D$8:$D$30,$C203)</f>
        <v>0</v>
      </c>
    </row>
    <row r="204" spans="1:16">
      <c r="A204" s="4">
        <f t="shared" si="6"/>
        <v>173</v>
      </c>
      <c r="B204" s="5" t="s">
        <v>449</v>
      </c>
      <c r="C204" s="6" t="s">
        <v>450</v>
      </c>
      <c r="D204" s="7">
        <f t="shared" si="7"/>
        <v>10</v>
      </c>
      <c r="E204" s="4">
        <f>COUNTIF('200K OMAHA 5 K.O'!$D$8:$D$37,$C204)+COUNTIF(HORSE!$D$8:$D$26,$C204)+COUNTIF('SUPER K.O'!$D$8:$D$41,$C204)+COUNTIF('8 GAME'!$D$8:$D$21,$C204)+COUNTIF('100K OMAHA MYSTERY BOUNTY'!$D$8:$D$32,$C204)+COUNTIF('CHAMPIONSHIP HIGH ROLLER 200K'!$D$8:$D$72,$C204)+COUNTIF('PLO-NLH DEALER´S CHOICE PIJAMA'!$D$8:$D$27,$C204)+COUNTIF('Main Event SPT - Dia Final'!$D$8:$D$221,$C204)+COUNTIF('SECOND CHANCE'!$D$8:$D$86,$C204)+COUNTIF('HIGH ROLLER 50K'!$D$8:$D$38,$C204)+COUNTIF('OMAHA DEALER´S CHOICE'!$D$8:$D$30,$C204)</f>
        <v>1</v>
      </c>
      <c r="F204" s="8">
        <f>SUMIFS('200K OMAHA 5 K.O'!$C$8:$C$37,'200K OMAHA 5 K.O'!$D$8:$D$37,$C204)</f>
        <v>0</v>
      </c>
      <c r="G204" s="8">
        <f>SUMIFS(HORSE!$C$8:$C$26,HORSE!$D$8:$D$26,$C204)</f>
        <v>0</v>
      </c>
      <c r="H204" s="8">
        <f>SUMIFS('SUPER K.O'!$C$8:$C$41,'SUPER K.O'!$D$8:$D$41,$C204)</f>
        <v>0</v>
      </c>
      <c r="I204" s="8">
        <f>SUMIFS('8 GAME'!$C$8:$C$21,'8 GAME'!$D$8:$D$21,$C204)</f>
        <v>0</v>
      </c>
      <c r="J204" s="8">
        <f>SUMIFS('100K OMAHA MYSTERY BOUNTY'!$C$8:$C$32,'100K OMAHA MYSTERY BOUNTY'!$D$8:$D$32,$C204)</f>
        <v>0</v>
      </c>
      <c r="K204" s="8">
        <f>SUMIFS('CHAMPIONSHIP HIGH ROLLER 200K'!$C$8:$C$72,'CHAMPIONSHIP HIGH ROLLER 200K'!$D$8:$D$72,$C204)</f>
        <v>0</v>
      </c>
      <c r="L204" s="8">
        <f>SUMIFS('PLO-NLH DEALER´S CHOICE PIJAMA'!$C$8:$C$27,'PLO-NLH DEALER´S CHOICE PIJAMA'!$D$8:$D$27,$C204)</f>
        <v>0</v>
      </c>
      <c r="M204" s="8">
        <f>SUMIFS('Main Event SPT - Dia Final'!$C$8:$C$221,'Main Event SPT - Dia Final'!$D$8:$D$221,$C204)</f>
        <v>10</v>
      </c>
      <c r="N204" s="8">
        <f>SUMIFS('SECOND CHANCE'!$C$8:$C$86,'SECOND CHANCE'!$D$8:$D$86,$C204)</f>
        <v>0</v>
      </c>
      <c r="O204" s="8">
        <f>SUMIFS('HIGH ROLLER 50K'!$C$8:$C$38,'HIGH ROLLER 50K'!$D$8:$D$38,$C204)</f>
        <v>0</v>
      </c>
      <c r="P204" s="8">
        <f>SUMIFS('OMAHA DEALER´S CHOICE'!$C$8:$C$30,'OMAHA DEALER´S CHOICE'!$D$8:$D$30,$C204)</f>
        <v>0</v>
      </c>
    </row>
    <row r="205" spans="1:16">
      <c r="A205" s="4">
        <f t="shared" si="6"/>
        <v>173</v>
      </c>
      <c r="B205" s="5" t="s">
        <v>367</v>
      </c>
      <c r="C205" s="6" t="s">
        <v>368</v>
      </c>
      <c r="D205" s="7">
        <f t="shared" si="7"/>
        <v>10</v>
      </c>
      <c r="E205" s="4">
        <f>COUNTIF('200K OMAHA 5 K.O'!$D$8:$D$37,$C205)+COUNTIF(HORSE!$D$8:$D$26,$C205)+COUNTIF('SUPER K.O'!$D$8:$D$41,$C205)+COUNTIF('8 GAME'!$D$8:$D$21,$C205)+COUNTIF('100K OMAHA MYSTERY BOUNTY'!$D$8:$D$32,$C205)+COUNTIF('CHAMPIONSHIP HIGH ROLLER 200K'!$D$8:$D$72,$C205)+COUNTIF('PLO-NLH DEALER´S CHOICE PIJAMA'!$D$8:$D$27,$C205)+COUNTIF('Main Event SPT - Dia Final'!$D$8:$D$221,$C205)+COUNTIF('SECOND CHANCE'!$D$8:$D$86,$C205)+COUNTIF('HIGH ROLLER 50K'!$D$8:$D$38,$C205)+COUNTIF('OMAHA DEALER´S CHOICE'!$D$8:$D$30,$C205)</f>
        <v>1</v>
      </c>
      <c r="F205" s="8">
        <f>SUMIFS('200K OMAHA 5 K.O'!$C$8:$C$37,'200K OMAHA 5 K.O'!$D$8:$D$37,$C205)</f>
        <v>0</v>
      </c>
      <c r="G205" s="8">
        <f>SUMIFS(HORSE!$C$8:$C$26,HORSE!$D$8:$D$26,$C205)</f>
        <v>0</v>
      </c>
      <c r="H205" s="8">
        <f>SUMIFS('SUPER K.O'!$C$8:$C$41,'SUPER K.O'!$D$8:$D$41,$C205)</f>
        <v>0</v>
      </c>
      <c r="I205" s="8">
        <f>SUMIFS('8 GAME'!$C$8:$C$21,'8 GAME'!$D$8:$D$21,$C205)</f>
        <v>0</v>
      </c>
      <c r="J205" s="8">
        <f>SUMIFS('100K OMAHA MYSTERY BOUNTY'!$C$8:$C$32,'100K OMAHA MYSTERY BOUNTY'!$D$8:$D$32,$C205)</f>
        <v>0</v>
      </c>
      <c r="K205" s="8">
        <f>SUMIFS('CHAMPIONSHIP HIGH ROLLER 200K'!$C$8:$C$72,'CHAMPIONSHIP HIGH ROLLER 200K'!$D$8:$D$72,$C205)</f>
        <v>0</v>
      </c>
      <c r="L205" s="8">
        <f>SUMIFS('PLO-NLH DEALER´S CHOICE PIJAMA'!$C$8:$C$27,'PLO-NLH DEALER´S CHOICE PIJAMA'!$D$8:$D$27,$C205)</f>
        <v>0</v>
      </c>
      <c r="M205" s="8">
        <f>SUMIFS('Main Event SPT - Dia Final'!$C$8:$C$221,'Main Event SPT - Dia Final'!$D$8:$D$221,$C205)</f>
        <v>10</v>
      </c>
      <c r="N205" s="8">
        <f>SUMIFS('SECOND CHANCE'!$C$8:$C$86,'SECOND CHANCE'!$D$8:$D$86,$C205)</f>
        <v>0</v>
      </c>
      <c r="O205" s="8">
        <f>SUMIFS('HIGH ROLLER 50K'!$C$8:$C$38,'HIGH ROLLER 50K'!$D$8:$D$38,$C205)</f>
        <v>0</v>
      </c>
      <c r="P205" s="8">
        <f>SUMIFS('OMAHA DEALER´S CHOICE'!$C$8:$C$30,'OMAHA DEALER´S CHOICE'!$D$8:$D$30,$C205)</f>
        <v>0</v>
      </c>
    </row>
    <row r="206" spans="1:16">
      <c r="A206" s="4">
        <f t="shared" si="6"/>
        <v>173</v>
      </c>
      <c r="B206" s="5" t="s">
        <v>351</v>
      </c>
      <c r="C206" s="6" t="s">
        <v>352</v>
      </c>
      <c r="D206" s="7">
        <f t="shared" si="7"/>
        <v>10</v>
      </c>
      <c r="E206" s="4">
        <f>COUNTIF('200K OMAHA 5 K.O'!$D$8:$D$37,$C206)+COUNTIF(HORSE!$D$8:$D$26,$C206)+COUNTIF('SUPER K.O'!$D$8:$D$41,$C206)+COUNTIF('8 GAME'!$D$8:$D$21,$C206)+COUNTIF('100K OMAHA MYSTERY BOUNTY'!$D$8:$D$32,$C206)+COUNTIF('CHAMPIONSHIP HIGH ROLLER 200K'!$D$8:$D$72,$C206)+COUNTIF('PLO-NLH DEALER´S CHOICE PIJAMA'!$D$8:$D$27,$C206)+COUNTIF('Main Event SPT - Dia Final'!$D$8:$D$221,$C206)+COUNTIF('SECOND CHANCE'!$D$8:$D$86,$C206)+COUNTIF('HIGH ROLLER 50K'!$D$8:$D$38,$C206)+COUNTIF('OMAHA DEALER´S CHOICE'!$D$8:$D$30,$C206)</f>
        <v>1</v>
      </c>
      <c r="F206" s="8">
        <f>SUMIFS('200K OMAHA 5 K.O'!$C$8:$C$37,'200K OMAHA 5 K.O'!$D$8:$D$37,$C206)</f>
        <v>0</v>
      </c>
      <c r="G206" s="8">
        <f>SUMIFS(HORSE!$C$8:$C$26,HORSE!$D$8:$D$26,$C206)</f>
        <v>0</v>
      </c>
      <c r="H206" s="8">
        <f>SUMIFS('SUPER K.O'!$C$8:$C$41,'SUPER K.O'!$D$8:$D$41,$C206)</f>
        <v>0</v>
      </c>
      <c r="I206" s="8">
        <f>SUMIFS('8 GAME'!$C$8:$C$21,'8 GAME'!$D$8:$D$21,$C206)</f>
        <v>0</v>
      </c>
      <c r="J206" s="8">
        <f>SUMIFS('100K OMAHA MYSTERY BOUNTY'!$C$8:$C$32,'100K OMAHA MYSTERY BOUNTY'!$D$8:$D$32,$C206)</f>
        <v>0</v>
      </c>
      <c r="K206" s="8">
        <f>SUMIFS('CHAMPIONSHIP HIGH ROLLER 200K'!$C$8:$C$72,'CHAMPIONSHIP HIGH ROLLER 200K'!$D$8:$D$72,$C206)</f>
        <v>0</v>
      </c>
      <c r="L206" s="8">
        <f>SUMIFS('PLO-NLH DEALER´S CHOICE PIJAMA'!$C$8:$C$27,'PLO-NLH DEALER´S CHOICE PIJAMA'!$D$8:$D$27,$C206)</f>
        <v>0</v>
      </c>
      <c r="M206" s="8">
        <f>SUMIFS('Main Event SPT - Dia Final'!$C$8:$C$221,'Main Event SPT - Dia Final'!$D$8:$D$221,$C206)</f>
        <v>10</v>
      </c>
      <c r="N206" s="8">
        <f>SUMIFS('SECOND CHANCE'!$C$8:$C$86,'SECOND CHANCE'!$D$8:$D$86,$C206)</f>
        <v>0</v>
      </c>
      <c r="O206" s="8">
        <f>SUMIFS('HIGH ROLLER 50K'!$C$8:$C$38,'HIGH ROLLER 50K'!$D$8:$D$38,$C206)</f>
        <v>0</v>
      </c>
      <c r="P206" s="8">
        <f>SUMIFS('OMAHA DEALER´S CHOICE'!$C$8:$C$30,'OMAHA DEALER´S CHOICE'!$D$8:$D$30,$C206)</f>
        <v>0</v>
      </c>
    </row>
    <row r="207" spans="1:16">
      <c r="A207" s="4">
        <f t="shared" si="6"/>
        <v>173</v>
      </c>
      <c r="B207" s="5" t="s">
        <v>389</v>
      </c>
      <c r="C207" s="6" t="s">
        <v>390</v>
      </c>
      <c r="D207" s="7">
        <f t="shared" si="7"/>
        <v>10</v>
      </c>
      <c r="E207" s="4">
        <f>COUNTIF('200K OMAHA 5 K.O'!$D$8:$D$37,$C207)+COUNTIF(HORSE!$D$8:$D$26,$C207)+COUNTIF('SUPER K.O'!$D$8:$D$41,$C207)+COUNTIF('8 GAME'!$D$8:$D$21,$C207)+COUNTIF('100K OMAHA MYSTERY BOUNTY'!$D$8:$D$32,$C207)+COUNTIF('CHAMPIONSHIP HIGH ROLLER 200K'!$D$8:$D$72,$C207)+COUNTIF('PLO-NLH DEALER´S CHOICE PIJAMA'!$D$8:$D$27,$C207)+COUNTIF('Main Event SPT - Dia Final'!$D$8:$D$221,$C207)+COUNTIF('SECOND CHANCE'!$D$8:$D$86,$C207)+COUNTIF('HIGH ROLLER 50K'!$D$8:$D$38,$C207)+COUNTIF('OMAHA DEALER´S CHOICE'!$D$8:$D$30,$C207)</f>
        <v>1</v>
      </c>
      <c r="F207" s="8">
        <f>SUMIFS('200K OMAHA 5 K.O'!$C$8:$C$37,'200K OMAHA 5 K.O'!$D$8:$D$37,$C207)</f>
        <v>0</v>
      </c>
      <c r="G207" s="8">
        <f>SUMIFS(HORSE!$C$8:$C$26,HORSE!$D$8:$D$26,$C207)</f>
        <v>0</v>
      </c>
      <c r="H207" s="8">
        <f>SUMIFS('SUPER K.O'!$C$8:$C$41,'SUPER K.O'!$D$8:$D$41,$C207)</f>
        <v>0</v>
      </c>
      <c r="I207" s="8">
        <f>SUMIFS('8 GAME'!$C$8:$C$21,'8 GAME'!$D$8:$D$21,$C207)</f>
        <v>0</v>
      </c>
      <c r="J207" s="8">
        <f>SUMIFS('100K OMAHA MYSTERY BOUNTY'!$C$8:$C$32,'100K OMAHA MYSTERY BOUNTY'!$D$8:$D$32,$C207)</f>
        <v>0</v>
      </c>
      <c r="K207" s="8">
        <f>SUMIFS('CHAMPIONSHIP HIGH ROLLER 200K'!$C$8:$C$72,'CHAMPIONSHIP HIGH ROLLER 200K'!$D$8:$D$72,$C207)</f>
        <v>0</v>
      </c>
      <c r="L207" s="8">
        <f>SUMIFS('PLO-NLH DEALER´S CHOICE PIJAMA'!$C$8:$C$27,'PLO-NLH DEALER´S CHOICE PIJAMA'!$D$8:$D$27,$C207)</f>
        <v>0</v>
      </c>
      <c r="M207" s="8">
        <f>SUMIFS('Main Event SPT - Dia Final'!$C$8:$C$221,'Main Event SPT - Dia Final'!$D$8:$D$221,$C207)</f>
        <v>10</v>
      </c>
      <c r="N207" s="8">
        <f>SUMIFS('SECOND CHANCE'!$C$8:$C$86,'SECOND CHANCE'!$D$8:$D$86,$C207)</f>
        <v>0</v>
      </c>
      <c r="O207" s="8">
        <f>SUMIFS('HIGH ROLLER 50K'!$C$8:$C$38,'HIGH ROLLER 50K'!$D$8:$D$38,$C207)</f>
        <v>0</v>
      </c>
      <c r="P207" s="8">
        <f>SUMIFS('OMAHA DEALER´S CHOICE'!$C$8:$C$30,'OMAHA DEALER´S CHOICE'!$D$8:$D$30,$C207)</f>
        <v>0</v>
      </c>
    </row>
    <row r="208" spans="1:16">
      <c r="A208" s="4">
        <f t="shared" si="6"/>
        <v>173</v>
      </c>
      <c r="B208" s="5" t="s">
        <v>375</v>
      </c>
      <c r="C208" s="6" t="s">
        <v>376</v>
      </c>
      <c r="D208" s="7">
        <f t="shared" si="7"/>
        <v>10</v>
      </c>
      <c r="E208" s="4">
        <f>COUNTIF('200K OMAHA 5 K.O'!$D$8:$D$37,$C208)+COUNTIF(HORSE!$D$8:$D$26,$C208)+COUNTIF('SUPER K.O'!$D$8:$D$41,$C208)+COUNTIF('8 GAME'!$D$8:$D$21,$C208)+COUNTIF('100K OMAHA MYSTERY BOUNTY'!$D$8:$D$32,$C208)+COUNTIF('CHAMPIONSHIP HIGH ROLLER 200K'!$D$8:$D$72,$C208)+COUNTIF('PLO-NLH DEALER´S CHOICE PIJAMA'!$D$8:$D$27,$C208)+COUNTIF('Main Event SPT - Dia Final'!$D$8:$D$221,$C208)+COUNTIF('SECOND CHANCE'!$D$8:$D$86,$C208)+COUNTIF('HIGH ROLLER 50K'!$D$8:$D$38,$C208)+COUNTIF('OMAHA DEALER´S CHOICE'!$D$8:$D$30,$C208)</f>
        <v>1</v>
      </c>
      <c r="F208" s="8">
        <f>SUMIFS('200K OMAHA 5 K.O'!$C$8:$C$37,'200K OMAHA 5 K.O'!$D$8:$D$37,$C208)</f>
        <v>0</v>
      </c>
      <c r="G208" s="8">
        <f>SUMIFS(HORSE!$C$8:$C$26,HORSE!$D$8:$D$26,$C208)</f>
        <v>0</v>
      </c>
      <c r="H208" s="8">
        <f>SUMIFS('SUPER K.O'!$C$8:$C$41,'SUPER K.O'!$D$8:$D$41,$C208)</f>
        <v>0</v>
      </c>
      <c r="I208" s="8">
        <f>SUMIFS('8 GAME'!$C$8:$C$21,'8 GAME'!$D$8:$D$21,$C208)</f>
        <v>0</v>
      </c>
      <c r="J208" s="8">
        <f>SUMIFS('100K OMAHA MYSTERY BOUNTY'!$C$8:$C$32,'100K OMAHA MYSTERY BOUNTY'!$D$8:$D$32,$C208)</f>
        <v>0</v>
      </c>
      <c r="K208" s="8">
        <f>SUMIFS('CHAMPIONSHIP HIGH ROLLER 200K'!$C$8:$C$72,'CHAMPIONSHIP HIGH ROLLER 200K'!$D$8:$D$72,$C208)</f>
        <v>0</v>
      </c>
      <c r="L208" s="8">
        <f>SUMIFS('PLO-NLH DEALER´S CHOICE PIJAMA'!$C$8:$C$27,'PLO-NLH DEALER´S CHOICE PIJAMA'!$D$8:$D$27,$C208)</f>
        <v>0</v>
      </c>
      <c r="M208" s="8">
        <f>SUMIFS('Main Event SPT - Dia Final'!$C$8:$C$221,'Main Event SPT - Dia Final'!$D$8:$D$221,$C208)</f>
        <v>10</v>
      </c>
      <c r="N208" s="8">
        <f>SUMIFS('SECOND CHANCE'!$C$8:$C$86,'SECOND CHANCE'!$D$8:$D$86,$C208)</f>
        <v>0</v>
      </c>
      <c r="O208" s="8">
        <f>SUMIFS('HIGH ROLLER 50K'!$C$8:$C$38,'HIGH ROLLER 50K'!$D$8:$D$38,$C208)</f>
        <v>0</v>
      </c>
      <c r="P208" s="8">
        <f>SUMIFS('OMAHA DEALER´S CHOICE'!$C$8:$C$30,'OMAHA DEALER´S CHOICE'!$D$8:$D$30,$C208)</f>
        <v>0</v>
      </c>
    </row>
    <row r="209" spans="1:16">
      <c r="A209" s="4">
        <f t="shared" si="6"/>
        <v>173</v>
      </c>
      <c r="B209" s="5" t="s">
        <v>485</v>
      </c>
      <c r="C209" s="6" t="s">
        <v>486</v>
      </c>
      <c r="D209" s="7">
        <f t="shared" si="7"/>
        <v>10</v>
      </c>
      <c r="E209" s="4">
        <f>COUNTIF('200K OMAHA 5 K.O'!$D$8:$D$37,$C209)+COUNTIF(HORSE!$D$8:$D$26,$C209)+COUNTIF('SUPER K.O'!$D$8:$D$41,$C209)+COUNTIF('8 GAME'!$D$8:$D$21,$C209)+COUNTIF('100K OMAHA MYSTERY BOUNTY'!$D$8:$D$32,$C209)+COUNTIF('CHAMPIONSHIP HIGH ROLLER 200K'!$D$8:$D$72,$C209)+COUNTIF('PLO-NLH DEALER´S CHOICE PIJAMA'!$D$8:$D$27,$C209)+COUNTIF('Main Event SPT - Dia Final'!$D$8:$D$221,$C209)+COUNTIF('SECOND CHANCE'!$D$8:$D$86,$C209)+COUNTIF('HIGH ROLLER 50K'!$D$8:$D$38,$C209)+COUNTIF('OMAHA DEALER´S CHOICE'!$D$8:$D$30,$C209)</f>
        <v>1</v>
      </c>
      <c r="F209" s="8">
        <f>SUMIFS('200K OMAHA 5 K.O'!$C$8:$C$37,'200K OMAHA 5 K.O'!$D$8:$D$37,$C209)</f>
        <v>0</v>
      </c>
      <c r="G209" s="8">
        <f>SUMIFS(HORSE!$C$8:$C$26,HORSE!$D$8:$D$26,$C209)</f>
        <v>0</v>
      </c>
      <c r="H209" s="8">
        <f>SUMIFS('SUPER K.O'!$C$8:$C$41,'SUPER K.O'!$D$8:$D$41,$C209)</f>
        <v>0</v>
      </c>
      <c r="I209" s="8">
        <f>SUMIFS('8 GAME'!$C$8:$C$21,'8 GAME'!$D$8:$D$21,$C209)</f>
        <v>0</v>
      </c>
      <c r="J209" s="8">
        <f>SUMIFS('100K OMAHA MYSTERY BOUNTY'!$C$8:$C$32,'100K OMAHA MYSTERY BOUNTY'!$D$8:$D$32,$C209)</f>
        <v>0</v>
      </c>
      <c r="K209" s="8">
        <f>SUMIFS('CHAMPIONSHIP HIGH ROLLER 200K'!$C$8:$C$72,'CHAMPIONSHIP HIGH ROLLER 200K'!$D$8:$D$72,$C209)</f>
        <v>0</v>
      </c>
      <c r="L209" s="8">
        <f>SUMIFS('PLO-NLH DEALER´S CHOICE PIJAMA'!$C$8:$C$27,'PLO-NLH DEALER´S CHOICE PIJAMA'!$D$8:$D$27,$C209)</f>
        <v>0</v>
      </c>
      <c r="M209" s="8">
        <f>SUMIFS('Main Event SPT - Dia Final'!$C$8:$C$221,'Main Event SPT - Dia Final'!$D$8:$D$221,$C209)</f>
        <v>10</v>
      </c>
      <c r="N209" s="8">
        <f>SUMIFS('SECOND CHANCE'!$C$8:$C$86,'SECOND CHANCE'!$D$8:$D$86,$C209)</f>
        <v>0</v>
      </c>
      <c r="O209" s="8">
        <f>SUMIFS('HIGH ROLLER 50K'!$C$8:$C$38,'HIGH ROLLER 50K'!$D$8:$D$38,$C209)</f>
        <v>0</v>
      </c>
      <c r="P209" s="8">
        <f>SUMIFS('OMAHA DEALER´S CHOICE'!$C$8:$C$30,'OMAHA DEALER´S CHOICE'!$D$8:$D$30,$C209)</f>
        <v>0</v>
      </c>
    </row>
    <row r="210" spans="1:16">
      <c r="A210" s="4">
        <f t="shared" si="6"/>
        <v>173</v>
      </c>
      <c r="B210" s="5" t="s">
        <v>447</v>
      </c>
      <c r="C210" s="6" t="s">
        <v>448</v>
      </c>
      <c r="D210" s="7">
        <f t="shared" si="7"/>
        <v>10</v>
      </c>
      <c r="E210" s="4">
        <f>COUNTIF('200K OMAHA 5 K.O'!$D$8:$D$37,$C210)+COUNTIF(HORSE!$D$8:$D$26,$C210)+COUNTIF('SUPER K.O'!$D$8:$D$41,$C210)+COUNTIF('8 GAME'!$D$8:$D$21,$C210)+COUNTIF('100K OMAHA MYSTERY BOUNTY'!$D$8:$D$32,$C210)+COUNTIF('CHAMPIONSHIP HIGH ROLLER 200K'!$D$8:$D$72,$C210)+COUNTIF('PLO-NLH DEALER´S CHOICE PIJAMA'!$D$8:$D$27,$C210)+COUNTIF('Main Event SPT - Dia Final'!$D$8:$D$221,$C210)+COUNTIF('SECOND CHANCE'!$D$8:$D$86,$C210)+COUNTIF('HIGH ROLLER 50K'!$D$8:$D$38,$C210)+COUNTIF('OMAHA DEALER´S CHOICE'!$D$8:$D$30,$C210)</f>
        <v>1</v>
      </c>
      <c r="F210" s="8">
        <f>SUMIFS('200K OMAHA 5 K.O'!$C$8:$C$37,'200K OMAHA 5 K.O'!$D$8:$D$37,$C210)</f>
        <v>0</v>
      </c>
      <c r="G210" s="8">
        <f>SUMIFS(HORSE!$C$8:$C$26,HORSE!$D$8:$D$26,$C210)</f>
        <v>0</v>
      </c>
      <c r="H210" s="8">
        <f>SUMIFS('SUPER K.O'!$C$8:$C$41,'SUPER K.O'!$D$8:$D$41,$C210)</f>
        <v>0</v>
      </c>
      <c r="I210" s="8">
        <f>SUMIFS('8 GAME'!$C$8:$C$21,'8 GAME'!$D$8:$D$21,$C210)</f>
        <v>0</v>
      </c>
      <c r="J210" s="8">
        <f>SUMIFS('100K OMAHA MYSTERY BOUNTY'!$C$8:$C$32,'100K OMAHA MYSTERY BOUNTY'!$D$8:$D$32,$C210)</f>
        <v>0</v>
      </c>
      <c r="K210" s="8">
        <f>SUMIFS('CHAMPIONSHIP HIGH ROLLER 200K'!$C$8:$C$72,'CHAMPIONSHIP HIGH ROLLER 200K'!$D$8:$D$72,$C210)</f>
        <v>0</v>
      </c>
      <c r="L210" s="8">
        <f>SUMIFS('PLO-NLH DEALER´S CHOICE PIJAMA'!$C$8:$C$27,'PLO-NLH DEALER´S CHOICE PIJAMA'!$D$8:$D$27,$C210)</f>
        <v>0</v>
      </c>
      <c r="M210" s="8">
        <f>SUMIFS('Main Event SPT - Dia Final'!$C$8:$C$221,'Main Event SPT - Dia Final'!$D$8:$D$221,$C210)</f>
        <v>10</v>
      </c>
      <c r="N210" s="8">
        <f>SUMIFS('SECOND CHANCE'!$C$8:$C$86,'SECOND CHANCE'!$D$8:$D$86,$C210)</f>
        <v>0</v>
      </c>
      <c r="O210" s="8">
        <f>SUMIFS('HIGH ROLLER 50K'!$C$8:$C$38,'HIGH ROLLER 50K'!$D$8:$D$38,$C210)</f>
        <v>0</v>
      </c>
      <c r="P210" s="8">
        <f>SUMIFS('OMAHA DEALER´S CHOICE'!$C$8:$C$30,'OMAHA DEALER´S CHOICE'!$D$8:$D$30,$C210)</f>
        <v>0</v>
      </c>
    </row>
    <row r="211" spans="1:16">
      <c r="A211" s="4">
        <f t="shared" si="6"/>
        <v>173</v>
      </c>
      <c r="B211" s="5" t="s">
        <v>379</v>
      </c>
      <c r="C211" s="6" t="s">
        <v>380</v>
      </c>
      <c r="D211" s="7">
        <f t="shared" si="7"/>
        <v>10</v>
      </c>
      <c r="E211" s="4">
        <f>COUNTIF('200K OMAHA 5 K.O'!$D$8:$D$37,$C211)+COUNTIF(HORSE!$D$8:$D$26,$C211)+COUNTIF('SUPER K.O'!$D$8:$D$41,$C211)+COUNTIF('8 GAME'!$D$8:$D$21,$C211)+COUNTIF('100K OMAHA MYSTERY BOUNTY'!$D$8:$D$32,$C211)+COUNTIF('CHAMPIONSHIP HIGH ROLLER 200K'!$D$8:$D$72,$C211)+COUNTIF('PLO-NLH DEALER´S CHOICE PIJAMA'!$D$8:$D$27,$C211)+COUNTIF('Main Event SPT - Dia Final'!$D$8:$D$221,$C211)+COUNTIF('SECOND CHANCE'!$D$8:$D$86,$C211)+COUNTIF('HIGH ROLLER 50K'!$D$8:$D$38,$C211)+COUNTIF('OMAHA DEALER´S CHOICE'!$D$8:$D$30,$C211)</f>
        <v>1</v>
      </c>
      <c r="F211" s="8">
        <f>SUMIFS('200K OMAHA 5 K.O'!$C$8:$C$37,'200K OMAHA 5 K.O'!$D$8:$D$37,$C211)</f>
        <v>0</v>
      </c>
      <c r="G211" s="8">
        <f>SUMIFS(HORSE!$C$8:$C$26,HORSE!$D$8:$D$26,$C211)</f>
        <v>0</v>
      </c>
      <c r="H211" s="8">
        <f>SUMIFS('SUPER K.O'!$C$8:$C$41,'SUPER K.O'!$D$8:$D$41,$C211)</f>
        <v>0</v>
      </c>
      <c r="I211" s="8">
        <f>SUMIFS('8 GAME'!$C$8:$C$21,'8 GAME'!$D$8:$D$21,$C211)</f>
        <v>0</v>
      </c>
      <c r="J211" s="8">
        <f>SUMIFS('100K OMAHA MYSTERY BOUNTY'!$C$8:$C$32,'100K OMAHA MYSTERY BOUNTY'!$D$8:$D$32,$C211)</f>
        <v>0</v>
      </c>
      <c r="K211" s="8">
        <f>SUMIFS('CHAMPIONSHIP HIGH ROLLER 200K'!$C$8:$C$72,'CHAMPIONSHIP HIGH ROLLER 200K'!$D$8:$D$72,$C211)</f>
        <v>0</v>
      </c>
      <c r="L211" s="8">
        <f>SUMIFS('PLO-NLH DEALER´S CHOICE PIJAMA'!$C$8:$C$27,'PLO-NLH DEALER´S CHOICE PIJAMA'!$D$8:$D$27,$C211)</f>
        <v>0</v>
      </c>
      <c r="M211" s="8">
        <f>SUMIFS('Main Event SPT - Dia Final'!$C$8:$C$221,'Main Event SPT - Dia Final'!$D$8:$D$221,$C211)</f>
        <v>10</v>
      </c>
      <c r="N211" s="8">
        <f>SUMIFS('SECOND CHANCE'!$C$8:$C$86,'SECOND CHANCE'!$D$8:$D$86,$C211)</f>
        <v>0</v>
      </c>
      <c r="O211" s="8">
        <f>SUMIFS('HIGH ROLLER 50K'!$C$8:$C$38,'HIGH ROLLER 50K'!$D$8:$D$38,$C211)</f>
        <v>0</v>
      </c>
      <c r="P211" s="8">
        <f>SUMIFS('OMAHA DEALER´S CHOICE'!$C$8:$C$30,'OMAHA DEALER´S CHOICE'!$D$8:$D$30,$C211)</f>
        <v>0</v>
      </c>
    </row>
    <row r="212" spans="1:16">
      <c r="A212" s="4">
        <f t="shared" si="6"/>
        <v>173</v>
      </c>
      <c r="B212" s="5" t="s">
        <v>455</v>
      </c>
      <c r="C212" s="6" t="s">
        <v>456</v>
      </c>
      <c r="D212" s="7">
        <f t="shared" si="7"/>
        <v>10</v>
      </c>
      <c r="E212" s="4">
        <f>COUNTIF('200K OMAHA 5 K.O'!$D$8:$D$37,$C212)+COUNTIF(HORSE!$D$8:$D$26,$C212)+COUNTIF('SUPER K.O'!$D$8:$D$41,$C212)+COUNTIF('8 GAME'!$D$8:$D$21,$C212)+COUNTIF('100K OMAHA MYSTERY BOUNTY'!$D$8:$D$32,$C212)+COUNTIF('CHAMPIONSHIP HIGH ROLLER 200K'!$D$8:$D$72,$C212)+COUNTIF('PLO-NLH DEALER´S CHOICE PIJAMA'!$D$8:$D$27,$C212)+COUNTIF('Main Event SPT - Dia Final'!$D$8:$D$221,$C212)+COUNTIF('SECOND CHANCE'!$D$8:$D$86,$C212)+COUNTIF('HIGH ROLLER 50K'!$D$8:$D$38,$C212)+COUNTIF('OMAHA DEALER´S CHOICE'!$D$8:$D$30,$C212)</f>
        <v>1</v>
      </c>
      <c r="F212" s="8">
        <f>SUMIFS('200K OMAHA 5 K.O'!$C$8:$C$37,'200K OMAHA 5 K.O'!$D$8:$D$37,$C212)</f>
        <v>0</v>
      </c>
      <c r="G212" s="8">
        <f>SUMIFS(HORSE!$C$8:$C$26,HORSE!$D$8:$D$26,$C212)</f>
        <v>0</v>
      </c>
      <c r="H212" s="8">
        <f>SUMIFS('SUPER K.O'!$C$8:$C$41,'SUPER K.O'!$D$8:$D$41,$C212)</f>
        <v>0</v>
      </c>
      <c r="I212" s="8">
        <f>SUMIFS('8 GAME'!$C$8:$C$21,'8 GAME'!$D$8:$D$21,$C212)</f>
        <v>0</v>
      </c>
      <c r="J212" s="8">
        <f>SUMIFS('100K OMAHA MYSTERY BOUNTY'!$C$8:$C$32,'100K OMAHA MYSTERY BOUNTY'!$D$8:$D$32,$C212)</f>
        <v>0</v>
      </c>
      <c r="K212" s="8">
        <f>SUMIFS('CHAMPIONSHIP HIGH ROLLER 200K'!$C$8:$C$72,'CHAMPIONSHIP HIGH ROLLER 200K'!$D$8:$D$72,$C212)</f>
        <v>0</v>
      </c>
      <c r="L212" s="8">
        <f>SUMIFS('PLO-NLH DEALER´S CHOICE PIJAMA'!$C$8:$C$27,'PLO-NLH DEALER´S CHOICE PIJAMA'!$D$8:$D$27,$C212)</f>
        <v>0</v>
      </c>
      <c r="M212" s="8">
        <f>SUMIFS('Main Event SPT - Dia Final'!$C$8:$C$221,'Main Event SPT - Dia Final'!$D$8:$D$221,$C212)</f>
        <v>10</v>
      </c>
      <c r="N212" s="8">
        <f>SUMIFS('SECOND CHANCE'!$C$8:$C$86,'SECOND CHANCE'!$D$8:$D$86,$C212)</f>
        <v>0</v>
      </c>
      <c r="O212" s="8">
        <f>SUMIFS('HIGH ROLLER 50K'!$C$8:$C$38,'HIGH ROLLER 50K'!$D$8:$D$38,$C212)</f>
        <v>0</v>
      </c>
      <c r="P212" s="8">
        <f>SUMIFS('OMAHA DEALER´S CHOICE'!$C$8:$C$30,'OMAHA DEALER´S CHOICE'!$D$8:$D$30,$C212)</f>
        <v>0</v>
      </c>
    </row>
    <row r="213" spans="1:16">
      <c r="A213" s="4">
        <f t="shared" si="6"/>
        <v>173</v>
      </c>
      <c r="B213" s="5" t="s">
        <v>381</v>
      </c>
      <c r="C213" s="6" t="s">
        <v>382</v>
      </c>
      <c r="D213" s="7">
        <f t="shared" si="7"/>
        <v>10</v>
      </c>
      <c r="E213" s="4">
        <f>COUNTIF('200K OMAHA 5 K.O'!$D$8:$D$37,$C213)+COUNTIF(HORSE!$D$8:$D$26,$C213)+COUNTIF('SUPER K.O'!$D$8:$D$41,$C213)+COUNTIF('8 GAME'!$D$8:$D$21,$C213)+COUNTIF('100K OMAHA MYSTERY BOUNTY'!$D$8:$D$32,$C213)+COUNTIF('CHAMPIONSHIP HIGH ROLLER 200K'!$D$8:$D$72,$C213)+COUNTIF('PLO-NLH DEALER´S CHOICE PIJAMA'!$D$8:$D$27,$C213)+COUNTIF('Main Event SPT - Dia Final'!$D$8:$D$221,$C213)+COUNTIF('SECOND CHANCE'!$D$8:$D$86,$C213)+COUNTIF('HIGH ROLLER 50K'!$D$8:$D$38,$C213)+COUNTIF('OMAHA DEALER´S CHOICE'!$D$8:$D$30,$C213)</f>
        <v>1</v>
      </c>
      <c r="F213" s="8">
        <f>SUMIFS('200K OMAHA 5 K.O'!$C$8:$C$37,'200K OMAHA 5 K.O'!$D$8:$D$37,$C213)</f>
        <v>0</v>
      </c>
      <c r="G213" s="8">
        <f>SUMIFS(HORSE!$C$8:$C$26,HORSE!$D$8:$D$26,$C213)</f>
        <v>0</v>
      </c>
      <c r="H213" s="8">
        <f>SUMIFS('SUPER K.O'!$C$8:$C$41,'SUPER K.O'!$D$8:$D$41,$C213)</f>
        <v>0</v>
      </c>
      <c r="I213" s="8">
        <f>SUMIFS('8 GAME'!$C$8:$C$21,'8 GAME'!$D$8:$D$21,$C213)</f>
        <v>0</v>
      </c>
      <c r="J213" s="8">
        <f>SUMIFS('100K OMAHA MYSTERY BOUNTY'!$C$8:$C$32,'100K OMAHA MYSTERY BOUNTY'!$D$8:$D$32,$C213)</f>
        <v>0</v>
      </c>
      <c r="K213" s="8">
        <f>SUMIFS('CHAMPIONSHIP HIGH ROLLER 200K'!$C$8:$C$72,'CHAMPIONSHIP HIGH ROLLER 200K'!$D$8:$D$72,$C213)</f>
        <v>0</v>
      </c>
      <c r="L213" s="8">
        <f>SUMIFS('PLO-NLH DEALER´S CHOICE PIJAMA'!$C$8:$C$27,'PLO-NLH DEALER´S CHOICE PIJAMA'!$D$8:$D$27,$C213)</f>
        <v>0</v>
      </c>
      <c r="M213" s="8">
        <f>SUMIFS('Main Event SPT - Dia Final'!$C$8:$C$221,'Main Event SPT - Dia Final'!$D$8:$D$221,$C213)</f>
        <v>10</v>
      </c>
      <c r="N213" s="8">
        <f>SUMIFS('SECOND CHANCE'!$C$8:$C$86,'SECOND CHANCE'!$D$8:$D$86,$C213)</f>
        <v>0</v>
      </c>
      <c r="O213" s="8">
        <f>SUMIFS('HIGH ROLLER 50K'!$C$8:$C$38,'HIGH ROLLER 50K'!$D$8:$D$38,$C213)</f>
        <v>0</v>
      </c>
      <c r="P213" s="8">
        <f>SUMIFS('OMAHA DEALER´S CHOICE'!$C$8:$C$30,'OMAHA DEALER´S CHOICE'!$D$8:$D$30,$C213)</f>
        <v>0</v>
      </c>
    </row>
    <row r="214" spans="1:16">
      <c r="A214" s="4">
        <f t="shared" si="6"/>
        <v>173</v>
      </c>
      <c r="B214" s="5" t="s">
        <v>421</v>
      </c>
      <c r="C214" s="6" t="s">
        <v>422</v>
      </c>
      <c r="D214" s="7">
        <f t="shared" si="7"/>
        <v>10</v>
      </c>
      <c r="E214" s="4">
        <f>COUNTIF('200K OMAHA 5 K.O'!$D$8:$D$37,$C214)+COUNTIF(HORSE!$D$8:$D$26,$C214)+COUNTIF('SUPER K.O'!$D$8:$D$41,$C214)+COUNTIF('8 GAME'!$D$8:$D$21,$C214)+COUNTIF('100K OMAHA MYSTERY BOUNTY'!$D$8:$D$32,$C214)+COUNTIF('CHAMPIONSHIP HIGH ROLLER 200K'!$D$8:$D$72,$C214)+COUNTIF('PLO-NLH DEALER´S CHOICE PIJAMA'!$D$8:$D$27,$C214)+COUNTIF('Main Event SPT - Dia Final'!$D$8:$D$221,$C214)+COUNTIF('SECOND CHANCE'!$D$8:$D$86,$C214)+COUNTIF('HIGH ROLLER 50K'!$D$8:$D$38,$C214)+COUNTIF('OMAHA DEALER´S CHOICE'!$D$8:$D$30,$C214)</f>
        <v>1</v>
      </c>
      <c r="F214" s="8">
        <f>SUMIFS('200K OMAHA 5 K.O'!$C$8:$C$37,'200K OMAHA 5 K.O'!$D$8:$D$37,$C214)</f>
        <v>0</v>
      </c>
      <c r="G214" s="8">
        <f>SUMIFS(HORSE!$C$8:$C$26,HORSE!$D$8:$D$26,$C214)</f>
        <v>0</v>
      </c>
      <c r="H214" s="8">
        <f>SUMIFS('SUPER K.O'!$C$8:$C$41,'SUPER K.O'!$D$8:$D$41,$C214)</f>
        <v>0</v>
      </c>
      <c r="I214" s="8">
        <f>SUMIFS('8 GAME'!$C$8:$C$21,'8 GAME'!$D$8:$D$21,$C214)</f>
        <v>0</v>
      </c>
      <c r="J214" s="8">
        <f>SUMIFS('100K OMAHA MYSTERY BOUNTY'!$C$8:$C$32,'100K OMAHA MYSTERY BOUNTY'!$D$8:$D$32,$C214)</f>
        <v>0</v>
      </c>
      <c r="K214" s="8">
        <f>SUMIFS('CHAMPIONSHIP HIGH ROLLER 200K'!$C$8:$C$72,'CHAMPIONSHIP HIGH ROLLER 200K'!$D$8:$D$72,$C214)</f>
        <v>0</v>
      </c>
      <c r="L214" s="8">
        <f>SUMIFS('PLO-NLH DEALER´S CHOICE PIJAMA'!$C$8:$C$27,'PLO-NLH DEALER´S CHOICE PIJAMA'!$D$8:$D$27,$C214)</f>
        <v>0</v>
      </c>
      <c r="M214" s="8">
        <f>SUMIFS('Main Event SPT - Dia Final'!$C$8:$C$221,'Main Event SPT - Dia Final'!$D$8:$D$221,$C214)</f>
        <v>10</v>
      </c>
      <c r="N214" s="8">
        <f>SUMIFS('SECOND CHANCE'!$C$8:$C$86,'SECOND CHANCE'!$D$8:$D$86,$C214)</f>
        <v>0</v>
      </c>
      <c r="O214" s="8">
        <f>SUMIFS('HIGH ROLLER 50K'!$C$8:$C$38,'HIGH ROLLER 50K'!$D$8:$D$38,$C214)</f>
        <v>0</v>
      </c>
      <c r="P214" s="8">
        <f>SUMIFS('OMAHA DEALER´S CHOICE'!$C$8:$C$30,'OMAHA DEALER´S CHOICE'!$D$8:$D$30,$C214)</f>
        <v>0</v>
      </c>
    </row>
    <row r="215" spans="1:16">
      <c r="A215" s="4">
        <f t="shared" si="6"/>
        <v>173</v>
      </c>
      <c r="B215" s="5" t="s">
        <v>399</v>
      </c>
      <c r="C215" s="6" t="s">
        <v>400</v>
      </c>
      <c r="D215" s="7">
        <f t="shared" si="7"/>
        <v>10</v>
      </c>
      <c r="E215" s="4">
        <f>COUNTIF('200K OMAHA 5 K.O'!$D$8:$D$37,$C215)+COUNTIF(HORSE!$D$8:$D$26,$C215)+COUNTIF('SUPER K.O'!$D$8:$D$41,$C215)+COUNTIF('8 GAME'!$D$8:$D$21,$C215)+COUNTIF('100K OMAHA MYSTERY BOUNTY'!$D$8:$D$32,$C215)+COUNTIF('CHAMPIONSHIP HIGH ROLLER 200K'!$D$8:$D$72,$C215)+COUNTIF('PLO-NLH DEALER´S CHOICE PIJAMA'!$D$8:$D$27,$C215)+COUNTIF('Main Event SPT - Dia Final'!$D$8:$D$221,$C215)+COUNTIF('SECOND CHANCE'!$D$8:$D$86,$C215)+COUNTIF('HIGH ROLLER 50K'!$D$8:$D$38,$C215)+COUNTIF('OMAHA DEALER´S CHOICE'!$D$8:$D$30,$C215)</f>
        <v>1</v>
      </c>
      <c r="F215" s="8">
        <f>SUMIFS('200K OMAHA 5 K.O'!$C$8:$C$37,'200K OMAHA 5 K.O'!$D$8:$D$37,$C215)</f>
        <v>0</v>
      </c>
      <c r="G215" s="8">
        <f>SUMIFS(HORSE!$C$8:$C$26,HORSE!$D$8:$D$26,$C215)</f>
        <v>0</v>
      </c>
      <c r="H215" s="8">
        <f>SUMIFS('SUPER K.O'!$C$8:$C$41,'SUPER K.O'!$D$8:$D$41,$C215)</f>
        <v>0</v>
      </c>
      <c r="I215" s="8">
        <f>SUMIFS('8 GAME'!$C$8:$C$21,'8 GAME'!$D$8:$D$21,$C215)</f>
        <v>0</v>
      </c>
      <c r="J215" s="8">
        <f>SUMIFS('100K OMAHA MYSTERY BOUNTY'!$C$8:$C$32,'100K OMAHA MYSTERY BOUNTY'!$D$8:$D$32,$C215)</f>
        <v>0</v>
      </c>
      <c r="K215" s="8">
        <f>SUMIFS('CHAMPIONSHIP HIGH ROLLER 200K'!$C$8:$C$72,'CHAMPIONSHIP HIGH ROLLER 200K'!$D$8:$D$72,$C215)</f>
        <v>0</v>
      </c>
      <c r="L215" s="8">
        <f>SUMIFS('PLO-NLH DEALER´S CHOICE PIJAMA'!$C$8:$C$27,'PLO-NLH DEALER´S CHOICE PIJAMA'!$D$8:$D$27,$C215)</f>
        <v>0</v>
      </c>
      <c r="M215" s="8">
        <f>SUMIFS('Main Event SPT - Dia Final'!$C$8:$C$221,'Main Event SPT - Dia Final'!$D$8:$D$221,$C215)</f>
        <v>10</v>
      </c>
      <c r="N215" s="8">
        <f>SUMIFS('SECOND CHANCE'!$C$8:$C$86,'SECOND CHANCE'!$D$8:$D$86,$C215)</f>
        <v>0</v>
      </c>
      <c r="O215" s="8">
        <f>SUMIFS('HIGH ROLLER 50K'!$C$8:$C$38,'HIGH ROLLER 50K'!$D$8:$D$38,$C215)</f>
        <v>0</v>
      </c>
      <c r="P215" s="8">
        <f>SUMIFS('OMAHA DEALER´S CHOICE'!$C$8:$C$30,'OMAHA DEALER´S CHOICE'!$D$8:$D$30,$C215)</f>
        <v>0</v>
      </c>
    </row>
    <row r="216" spans="1:16">
      <c r="A216" s="4">
        <f t="shared" si="6"/>
        <v>173</v>
      </c>
      <c r="B216" s="5" t="s">
        <v>481</v>
      </c>
      <c r="C216" s="6" t="s">
        <v>482</v>
      </c>
      <c r="D216" s="7">
        <f t="shared" si="7"/>
        <v>10</v>
      </c>
      <c r="E216" s="4">
        <f>COUNTIF('200K OMAHA 5 K.O'!$D$8:$D$37,$C216)+COUNTIF(HORSE!$D$8:$D$26,$C216)+COUNTIF('SUPER K.O'!$D$8:$D$41,$C216)+COUNTIF('8 GAME'!$D$8:$D$21,$C216)+COUNTIF('100K OMAHA MYSTERY BOUNTY'!$D$8:$D$32,$C216)+COUNTIF('CHAMPIONSHIP HIGH ROLLER 200K'!$D$8:$D$72,$C216)+COUNTIF('PLO-NLH DEALER´S CHOICE PIJAMA'!$D$8:$D$27,$C216)+COUNTIF('Main Event SPT - Dia Final'!$D$8:$D$221,$C216)+COUNTIF('SECOND CHANCE'!$D$8:$D$86,$C216)+COUNTIF('HIGH ROLLER 50K'!$D$8:$D$38,$C216)+COUNTIF('OMAHA DEALER´S CHOICE'!$D$8:$D$30,$C216)</f>
        <v>1</v>
      </c>
      <c r="F216" s="8">
        <f>SUMIFS('200K OMAHA 5 K.O'!$C$8:$C$37,'200K OMAHA 5 K.O'!$D$8:$D$37,$C216)</f>
        <v>0</v>
      </c>
      <c r="G216" s="8">
        <f>SUMIFS(HORSE!$C$8:$C$26,HORSE!$D$8:$D$26,$C216)</f>
        <v>0</v>
      </c>
      <c r="H216" s="8">
        <f>SUMIFS('SUPER K.O'!$C$8:$C$41,'SUPER K.O'!$D$8:$D$41,$C216)</f>
        <v>0</v>
      </c>
      <c r="I216" s="8">
        <f>SUMIFS('8 GAME'!$C$8:$C$21,'8 GAME'!$D$8:$D$21,$C216)</f>
        <v>0</v>
      </c>
      <c r="J216" s="8">
        <f>SUMIFS('100K OMAHA MYSTERY BOUNTY'!$C$8:$C$32,'100K OMAHA MYSTERY BOUNTY'!$D$8:$D$32,$C216)</f>
        <v>0</v>
      </c>
      <c r="K216" s="8">
        <f>SUMIFS('CHAMPIONSHIP HIGH ROLLER 200K'!$C$8:$C$72,'CHAMPIONSHIP HIGH ROLLER 200K'!$D$8:$D$72,$C216)</f>
        <v>0</v>
      </c>
      <c r="L216" s="8">
        <f>SUMIFS('PLO-NLH DEALER´S CHOICE PIJAMA'!$C$8:$C$27,'PLO-NLH DEALER´S CHOICE PIJAMA'!$D$8:$D$27,$C216)</f>
        <v>0</v>
      </c>
      <c r="M216" s="8">
        <f>SUMIFS('Main Event SPT - Dia Final'!$C$8:$C$221,'Main Event SPT - Dia Final'!$D$8:$D$221,$C216)</f>
        <v>10</v>
      </c>
      <c r="N216" s="8">
        <f>SUMIFS('SECOND CHANCE'!$C$8:$C$86,'SECOND CHANCE'!$D$8:$D$86,$C216)</f>
        <v>0</v>
      </c>
      <c r="O216" s="8">
        <f>SUMIFS('HIGH ROLLER 50K'!$C$8:$C$38,'HIGH ROLLER 50K'!$D$8:$D$38,$C216)</f>
        <v>0</v>
      </c>
      <c r="P216" s="8">
        <f>SUMIFS('OMAHA DEALER´S CHOICE'!$C$8:$C$30,'OMAHA DEALER´S CHOICE'!$D$8:$D$30,$C216)</f>
        <v>0</v>
      </c>
    </row>
    <row r="217" spans="1:16">
      <c r="A217" s="4">
        <f t="shared" si="6"/>
        <v>173</v>
      </c>
      <c r="B217" s="5" t="s">
        <v>347</v>
      </c>
      <c r="C217" s="6" t="s">
        <v>348</v>
      </c>
      <c r="D217" s="7">
        <f t="shared" si="7"/>
        <v>10</v>
      </c>
      <c r="E217" s="4">
        <f>COUNTIF('200K OMAHA 5 K.O'!$D$8:$D$37,$C217)+COUNTIF(HORSE!$D$8:$D$26,$C217)+COUNTIF('SUPER K.O'!$D$8:$D$41,$C217)+COUNTIF('8 GAME'!$D$8:$D$21,$C217)+COUNTIF('100K OMAHA MYSTERY BOUNTY'!$D$8:$D$32,$C217)+COUNTIF('CHAMPIONSHIP HIGH ROLLER 200K'!$D$8:$D$72,$C217)+COUNTIF('PLO-NLH DEALER´S CHOICE PIJAMA'!$D$8:$D$27,$C217)+COUNTIF('Main Event SPT - Dia Final'!$D$8:$D$221,$C217)+COUNTIF('SECOND CHANCE'!$D$8:$D$86,$C217)+COUNTIF('HIGH ROLLER 50K'!$D$8:$D$38,$C217)+COUNTIF('OMAHA DEALER´S CHOICE'!$D$8:$D$30,$C217)</f>
        <v>1</v>
      </c>
      <c r="F217" s="8">
        <f>SUMIFS('200K OMAHA 5 K.O'!$C$8:$C$37,'200K OMAHA 5 K.O'!$D$8:$D$37,$C217)</f>
        <v>0</v>
      </c>
      <c r="G217" s="8">
        <f>SUMIFS(HORSE!$C$8:$C$26,HORSE!$D$8:$D$26,$C217)</f>
        <v>0</v>
      </c>
      <c r="H217" s="8">
        <f>SUMIFS('SUPER K.O'!$C$8:$C$41,'SUPER K.O'!$D$8:$D$41,$C217)</f>
        <v>0</v>
      </c>
      <c r="I217" s="8">
        <f>SUMIFS('8 GAME'!$C$8:$C$21,'8 GAME'!$D$8:$D$21,$C217)</f>
        <v>0</v>
      </c>
      <c r="J217" s="8">
        <f>SUMIFS('100K OMAHA MYSTERY BOUNTY'!$C$8:$C$32,'100K OMAHA MYSTERY BOUNTY'!$D$8:$D$32,$C217)</f>
        <v>0</v>
      </c>
      <c r="K217" s="8">
        <f>SUMIFS('CHAMPIONSHIP HIGH ROLLER 200K'!$C$8:$C$72,'CHAMPIONSHIP HIGH ROLLER 200K'!$D$8:$D$72,$C217)</f>
        <v>0</v>
      </c>
      <c r="L217" s="8">
        <f>SUMIFS('PLO-NLH DEALER´S CHOICE PIJAMA'!$C$8:$C$27,'PLO-NLH DEALER´S CHOICE PIJAMA'!$D$8:$D$27,$C217)</f>
        <v>0</v>
      </c>
      <c r="M217" s="8">
        <f>SUMIFS('Main Event SPT - Dia Final'!$C$8:$C$221,'Main Event SPT - Dia Final'!$D$8:$D$221,$C217)</f>
        <v>10</v>
      </c>
      <c r="N217" s="8">
        <f>SUMIFS('SECOND CHANCE'!$C$8:$C$86,'SECOND CHANCE'!$D$8:$D$86,$C217)</f>
        <v>0</v>
      </c>
      <c r="O217" s="8">
        <f>SUMIFS('HIGH ROLLER 50K'!$C$8:$C$38,'HIGH ROLLER 50K'!$D$8:$D$38,$C217)</f>
        <v>0</v>
      </c>
      <c r="P217" s="8">
        <f>SUMIFS('OMAHA DEALER´S CHOICE'!$C$8:$C$30,'OMAHA DEALER´S CHOICE'!$D$8:$D$30,$C217)</f>
        <v>0</v>
      </c>
    </row>
    <row r="218" spans="1:16">
      <c r="A218" s="4">
        <f t="shared" si="6"/>
        <v>173</v>
      </c>
      <c r="B218" s="5" t="s">
        <v>391</v>
      </c>
      <c r="C218" s="6" t="s">
        <v>392</v>
      </c>
      <c r="D218" s="7">
        <f t="shared" si="7"/>
        <v>10</v>
      </c>
      <c r="E218" s="4">
        <f>COUNTIF('200K OMAHA 5 K.O'!$D$8:$D$37,$C218)+COUNTIF(HORSE!$D$8:$D$26,$C218)+COUNTIF('SUPER K.O'!$D$8:$D$41,$C218)+COUNTIF('8 GAME'!$D$8:$D$21,$C218)+COUNTIF('100K OMAHA MYSTERY BOUNTY'!$D$8:$D$32,$C218)+COUNTIF('CHAMPIONSHIP HIGH ROLLER 200K'!$D$8:$D$72,$C218)+COUNTIF('PLO-NLH DEALER´S CHOICE PIJAMA'!$D$8:$D$27,$C218)+COUNTIF('Main Event SPT - Dia Final'!$D$8:$D$221,$C218)+COUNTIF('SECOND CHANCE'!$D$8:$D$86,$C218)+COUNTIF('HIGH ROLLER 50K'!$D$8:$D$38,$C218)+COUNTIF('OMAHA DEALER´S CHOICE'!$D$8:$D$30,$C218)</f>
        <v>1</v>
      </c>
      <c r="F218" s="8">
        <f>SUMIFS('200K OMAHA 5 K.O'!$C$8:$C$37,'200K OMAHA 5 K.O'!$D$8:$D$37,$C218)</f>
        <v>0</v>
      </c>
      <c r="G218" s="8">
        <f>SUMIFS(HORSE!$C$8:$C$26,HORSE!$D$8:$D$26,$C218)</f>
        <v>0</v>
      </c>
      <c r="H218" s="8">
        <f>SUMIFS('SUPER K.O'!$C$8:$C$41,'SUPER K.O'!$D$8:$D$41,$C218)</f>
        <v>0</v>
      </c>
      <c r="I218" s="8">
        <f>SUMIFS('8 GAME'!$C$8:$C$21,'8 GAME'!$D$8:$D$21,$C218)</f>
        <v>0</v>
      </c>
      <c r="J218" s="8">
        <f>SUMIFS('100K OMAHA MYSTERY BOUNTY'!$C$8:$C$32,'100K OMAHA MYSTERY BOUNTY'!$D$8:$D$32,$C218)</f>
        <v>0</v>
      </c>
      <c r="K218" s="8">
        <f>SUMIFS('CHAMPIONSHIP HIGH ROLLER 200K'!$C$8:$C$72,'CHAMPIONSHIP HIGH ROLLER 200K'!$D$8:$D$72,$C218)</f>
        <v>0</v>
      </c>
      <c r="L218" s="8">
        <f>SUMIFS('PLO-NLH DEALER´S CHOICE PIJAMA'!$C$8:$C$27,'PLO-NLH DEALER´S CHOICE PIJAMA'!$D$8:$D$27,$C218)</f>
        <v>0</v>
      </c>
      <c r="M218" s="8">
        <f>SUMIFS('Main Event SPT - Dia Final'!$C$8:$C$221,'Main Event SPT - Dia Final'!$D$8:$D$221,$C218)</f>
        <v>10</v>
      </c>
      <c r="N218" s="8">
        <f>SUMIFS('SECOND CHANCE'!$C$8:$C$86,'SECOND CHANCE'!$D$8:$D$86,$C218)</f>
        <v>0</v>
      </c>
      <c r="O218" s="8">
        <f>SUMIFS('HIGH ROLLER 50K'!$C$8:$C$38,'HIGH ROLLER 50K'!$D$8:$D$38,$C218)</f>
        <v>0</v>
      </c>
      <c r="P218" s="8">
        <f>SUMIFS('OMAHA DEALER´S CHOICE'!$C$8:$C$30,'OMAHA DEALER´S CHOICE'!$D$8:$D$30,$C218)</f>
        <v>0</v>
      </c>
    </row>
    <row r="219" spans="1:16">
      <c r="A219" s="4">
        <f t="shared" si="6"/>
        <v>173</v>
      </c>
      <c r="B219" s="5" t="s">
        <v>413</v>
      </c>
      <c r="C219" s="6" t="s">
        <v>414</v>
      </c>
      <c r="D219" s="7">
        <f t="shared" si="7"/>
        <v>10</v>
      </c>
      <c r="E219" s="4">
        <f>COUNTIF('200K OMAHA 5 K.O'!$D$8:$D$37,$C219)+COUNTIF(HORSE!$D$8:$D$26,$C219)+COUNTIF('SUPER K.O'!$D$8:$D$41,$C219)+COUNTIF('8 GAME'!$D$8:$D$21,$C219)+COUNTIF('100K OMAHA MYSTERY BOUNTY'!$D$8:$D$32,$C219)+COUNTIF('CHAMPIONSHIP HIGH ROLLER 200K'!$D$8:$D$72,$C219)+COUNTIF('PLO-NLH DEALER´S CHOICE PIJAMA'!$D$8:$D$27,$C219)+COUNTIF('Main Event SPT - Dia Final'!$D$8:$D$221,$C219)+COUNTIF('SECOND CHANCE'!$D$8:$D$86,$C219)+COUNTIF('HIGH ROLLER 50K'!$D$8:$D$38,$C219)+COUNTIF('OMAHA DEALER´S CHOICE'!$D$8:$D$30,$C219)</f>
        <v>1</v>
      </c>
      <c r="F219" s="8">
        <f>SUMIFS('200K OMAHA 5 K.O'!$C$8:$C$37,'200K OMAHA 5 K.O'!$D$8:$D$37,$C219)</f>
        <v>0</v>
      </c>
      <c r="G219" s="8">
        <f>SUMIFS(HORSE!$C$8:$C$26,HORSE!$D$8:$D$26,$C219)</f>
        <v>0</v>
      </c>
      <c r="H219" s="8">
        <f>SUMIFS('SUPER K.O'!$C$8:$C$41,'SUPER K.O'!$D$8:$D$41,$C219)</f>
        <v>0</v>
      </c>
      <c r="I219" s="8">
        <f>SUMIFS('8 GAME'!$C$8:$C$21,'8 GAME'!$D$8:$D$21,$C219)</f>
        <v>0</v>
      </c>
      <c r="J219" s="8">
        <f>SUMIFS('100K OMAHA MYSTERY BOUNTY'!$C$8:$C$32,'100K OMAHA MYSTERY BOUNTY'!$D$8:$D$32,$C219)</f>
        <v>0</v>
      </c>
      <c r="K219" s="8">
        <f>SUMIFS('CHAMPIONSHIP HIGH ROLLER 200K'!$C$8:$C$72,'CHAMPIONSHIP HIGH ROLLER 200K'!$D$8:$D$72,$C219)</f>
        <v>0</v>
      </c>
      <c r="L219" s="8">
        <f>SUMIFS('PLO-NLH DEALER´S CHOICE PIJAMA'!$C$8:$C$27,'PLO-NLH DEALER´S CHOICE PIJAMA'!$D$8:$D$27,$C219)</f>
        <v>0</v>
      </c>
      <c r="M219" s="8">
        <f>SUMIFS('Main Event SPT - Dia Final'!$C$8:$C$221,'Main Event SPT - Dia Final'!$D$8:$D$221,$C219)</f>
        <v>10</v>
      </c>
      <c r="N219" s="8">
        <f>SUMIFS('SECOND CHANCE'!$C$8:$C$86,'SECOND CHANCE'!$D$8:$D$86,$C219)</f>
        <v>0</v>
      </c>
      <c r="O219" s="8">
        <f>SUMIFS('HIGH ROLLER 50K'!$C$8:$C$38,'HIGH ROLLER 50K'!$D$8:$D$38,$C219)</f>
        <v>0</v>
      </c>
      <c r="P219" s="8">
        <f>SUMIFS('OMAHA DEALER´S CHOICE'!$C$8:$C$30,'OMAHA DEALER´S CHOICE'!$D$8:$D$30,$C219)</f>
        <v>0</v>
      </c>
    </row>
    <row r="220" spans="1:16">
      <c r="A220" s="4">
        <f t="shared" si="6"/>
        <v>173</v>
      </c>
      <c r="B220" s="5" t="s">
        <v>359</v>
      </c>
      <c r="C220" s="6" t="s">
        <v>360</v>
      </c>
      <c r="D220" s="7">
        <f t="shared" si="7"/>
        <v>10</v>
      </c>
      <c r="E220" s="4">
        <f>COUNTIF('200K OMAHA 5 K.O'!$D$8:$D$37,$C220)+COUNTIF(HORSE!$D$8:$D$26,$C220)+COUNTIF('SUPER K.O'!$D$8:$D$41,$C220)+COUNTIF('8 GAME'!$D$8:$D$21,$C220)+COUNTIF('100K OMAHA MYSTERY BOUNTY'!$D$8:$D$32,$C220)+COUNTIF('CHAMPIONSHIP HIGH ROLLER 200K'!$D$8:$D$72,$C220)+COUNTIF('PLO-NLH DEALER´S CHOICE PIJAMA'!$D$8:$D$27,$C220)+COUNTIF('Main Event SPT - Dia Final'!$D$8:$D$221,$C220)+COUNTIF('SECOND CHANCE'!$D$8:$D$86,$C220)+COUNTIF('HIGH ROLLER 50K'!$D$8:$D$38,$C220)+COUNTIF('OMAHA DEALER´S CHOICE'!$D$8:$D$30,$C220)</f>
        <v>1</v>
      </c>
      <c r="F220" s="8">
        <f>SUMIFS('200K OMAHA 5 K.O'!$C$8:$C$37,'200K OMAHA 5 K.O'!$D$8:$D$37,$C220)</f>
        <v>0</v>
      </c>
      <c r="G220" s="8">
        <f>SUMIFS(HORSE!$C$8:$C$26,HORSE!$D$8:$D$26,$C220)</f>
        <v>0</v>
      </c>
      <c r="H220" s="8">
        <f>SUMIFS('SUPER K.O'!$C$8:$C$41,'SUPER K.O'!$D$8:$D$41,$C220)</f>
        <v>0</v>
      </c>
      <c r="I220" s="8">
        <f>SUMIFS('8 GAME'!$C$8:$C$21,'8 GAME'!$D$8:$D$21,$C220)</f>
        <v>0</v>
      </c>
      <c r="J220" s="8">
        <f>SUMIFS('100K OMAHA MYSTERY BOUNTY'!$C$8:$C$32,'100K OMAHA MYSTERY BOUNTY'!$D$8:$D$32,$C220)</f>
        <v>0</v>
      </c>
      <c r="K220" s="8">
        <f>SUMIFS('CHAMPIONSHIP HIGH ROLLER 200K'!$C$8:$C$72,'CHAMPIONSHIP HIGH ROLLER 200K'!$D$8:$D$72,$C220)</f>
        <v>0</v>
      </c>
      <c r="L220" s="8">
        <f>SUMIFS('PLO-NLH DEALER´S CHOICE PIJAMA'!$C$8:$C$27,'PLO-NLH DEALER´S CHOICE PIJAMA'!$D$8:$D$27,$C220)</f>
        <v>0</v>
      </c>
      <c r="M220" s="8">
        <f>SUMIFS('Main Event SPT - Dia Final'!$C$8:$C$221,'Main Event SPT - Dia Final'!$D$8:$D$221,$C220)</f>
        <v>10</v>
      </c>
      <c r="N220" s="8">
        <f>SUMIFS('SECOND CHANCE'!$C$8:$C$86,'SECOND CHANCE'!$D$8:$D$86,$C220)</f>
        <v>0</v>
      </c>
      <c r="O220" s="8">
        <f>SUMIFS('HIGH ROLLER 50K'!$C$8:$C$38,'HIGH ROLLER 50K'!$D$8:$D$38,$C220)</f>
        <v>0</v>
      </c>
      <c r="P220" s="8">
        <f>SUMIFS('OMAHA DEALER´S CHOICE'!$C$8:$C$30,'OMAHA DEALER´S CHOICE'!$D$8:$D$30,$C220)</f>
        <v>0</v>
      </c>
    </row>
    <row r="221" spans="1:16">
      <c r="A221" s="4">
        <f t="shared" si="6"/>
        <v>173</v>
      </c>
      <c r="B221" s="5" t="s">
        <v>433</v>
      </c>
      <c r="C221" s="6" t="s">
        <v>434</v>
      </c>
      <c r="D221" s="7">
        <f t="shared" si="7"/>
        <v>10</v>
      </c>
      <c r="E221" s="4">
        <f>COUNTIF('200K OMAHA 5 K.O'!$D$8:$D$37,$C221)+COUNTIF(HORSE!$D$8:$D$26,$C221)+COUNTIF('SUPER K.O'!$D$8:$D$41,$C221)+COUNTIF('8 GAME'!$D$8:$D$21,$C221)+COUNTIF('100K OMAHA MYSTERY BOUNTY'!$D$8:$D$32,$C221)+COUNTIF('CHAMPIONSHIP HIGH ROLLER 200K'!$D$8:$D$72,$C221)+COUNTIF('PLO-NLH DEALER´S CHOICE PIJAMA'!$D$8:$D$27,$C221)+COUNTIF('Main Event SPT - Dia Final'!$D$8:$D$221,$C221)+COUNTIF('SECOND CHANCE'!$D$8:$D$86,$C221)+COUNTIF('HIGH ROLLER 50K'!$D$8:$D$38,$C221)+COUNTIF('OMAHA DEALER´S CHOICE'!$D$8:$D$30,$C221)</f>
        <v>1</v>
      </c>
      <c r="F221" s="8">
        <f>SUMIFS('200K OMAHA 5 K.O'!$C$8:$C$37,'200K OMAHA 5 K.O'!$D$8:$D$37,$C221)</f>
        <v>0</v>
      </c>
      <c r="G221" s="8">
        <f>SUMIFS(HORSE!$C$8:$C$26,HORSE!$D$8:$D$26,$C221)</f>
        <v>0</v>
      </c>
      <c r="H221" s="8">
        <f>SUMIFS('SUPER K.O'!$C$8:$C$41,'SUPER K.O'!$D$8:$D$41,$C221)</f>
        <v>0</v>
      </c>
      <c r="I221" s="8">
        <f>SUMIFS('8 GAME'!$C$8:$C$21,'8 GAME'!$D$8:$D$21,$C221)</f>
        <v>0</v>
      </c>
      <c r="J221" s="8">
        <f>SUMIFS('100K OMAHA MYSTERY BOUNTY'!$C$8:$C$32,'100K OMAHA MYSTERY BOUNTY'!$D$8:$D$32,$C221)</f>
        <v>0</v>
      </c>
      <c r="K221" s="8">
        <f>SUMIFS('CHAMPIONSHIP HIGH ROLLER 200K'!$C$8:$C$72,'CHAMPIONSHIP HIGH ROLLER 200K'!$D$8:$D$72,$C221)</f>
        <v>0</v>
      </c>
      <c r="L221" s="8">
        <f>SUMIFS('PLO-NLH DEALER´S CHOICE PIJAMA'!$C$8:$C$27,'PLO-NLH DEALER´S CHOICE PIJAMA'!$D$8:$D$27,$C221)</f>
        <v>0</v>
      </c>
      <c r="M221" s="8">
        <f>SUMIFS('Main Event SPT - Dia Final'!$C$8:$C$221,'Main Event SPT - Dia Final'!$D$8:$D$221,$C221)</f>
        <v>10</v>
      </c>
      <c r="N221" s="8">
        <f>SUMIFS('SECOND CHANCE'!$C$8:$C$86,'SECOND CHANCE'!$D$8:$D$86,$C221)</f>
        <v>0</v>
      </c>
      <c r="O221" s="8">
        <f>SUMIFS('HIGH ROLLER 50K'!$C$8:$C$38,'HIGH ROLLER 50K'!$D$8:$D$38,$C221)</f>
        <v>0</v>
      </c>
      <c r="P221" s="8">
        <f>SUMIFS('OMAHA DEALER´S CHOICE'!$C$8:$C$30,'OMAHA DEALER´S CHOICE'!$D$8:$D$30,$C221)</f>
        <v>0</v>
      </c>
    </row>
    <row r="222" spans="1:16">
      <c r="A222" s="4">
        <f t="shared" si="6"/>
        <v>173</v>
      </c>
      <c r="B222" s="5" t="s">
        <v>487</v>
      </c>
      <c r="C222" s="6" t="s">
        <v>488</v>
      </c>
      <c r="D222" s="7">
        <f t="shared" si="7"/>
        <v>10</v>
      </c>
      <c r="E222" s="4">
        <f>COUNTIF('200K OMAHA 5 K.O'!$D$8:$D$37,$C222)+COUNTIF(HORSE!$D$8:$D$26,$C222)+COUNTIF('SUPER K.O'!$D$8:$D$41,$C222)+COUNTIF('8 GAME'!$D$8:$D$21,$C222)+COUNTIF('100K OMAHA MYSTERY BOUNTY'!$D$8:$D$32,$C222)+COUNTIF('CHAMPIONSHIP HIGH ROLLER 200K'!$D$8:$D$72,$C222)+COUNTIF('PLO-NLH DEALER´S CHOICE PIJAMA'!$D$8:$D$27,$C222)+COUNTIF('Main Event SPT - Dia Final'!$D$8:$D$221,$C222)+COUNTIF('SECOND CHANCE'!$D$8:$D$86,$C222)+COUNTIF('HIGH ROLLER 50K'!$D$8:$D$38,$C222)+COUNTIF('OMAHA DEALER´S CHOICE'!$D$8:$D$30,$C222)</f>
        <v>1</v>
      </c>
      <c r="F222" s="8">
        <f>SUMIFS('200K OMAHA 5 K.O'!$C$8:$C$37,'200K OMAHA 5 K.O'!$D$8:$D$37,$C222)</f>
        <v>0</v>
      </c>
      <c r="G222" s="8">
        <f>SUMIFS(HORSE!$C$8:$C$26,HORSE!$D$8:$D$26,$C222)</f>
        <v>0</v>
      </c>
      <c r="H222" s="8">
        <f>SUMIFS('SUPER K.O'!$C$8:$C$41,'SUPER K.O'!$D$8:$D$41,$C222)</f>
        <v>0</v>
      </c>
      <c r="I222" s="8">
        <f>SUMIFS('8 GAME'!$C$8:$C$21,'8 GAME'!$D$8:$D$21,$C222)</f>
        <v>0</v>
      </c>
      <c r="J222" s="8">
        <f>SUMIFS('100K OMAHA MYSTERY BOUNTY'!$C$8:$C$32,'100K OMAHA MYSTERY BOUNTY'!$D$8:$D$32,$C222)</f>
        <v>0</v>
      </c>
      <c r="K222" s="8">
        <f>SUMIFS('CHAMPIONSHIP HIGH ROLLER 200K'!$C$8:$C$72,'CHAMPIONSHIP HIGH ROLLER 200K'!$D$8:$D$72,$C222)</f>
        <v>0</v>
      </c>
      <c r="L222" s="8">
        <f>SUMIFS('PLO-NLH DEALER´S CHOICE PIJAMA'!$C$8:$C$27,'PLO-NLH DEALER´S CHOICE PIJAMA'!$D$8:$D$27,$C222)</f>
        <v>0</v>
      </c>
      <c r="M222" s="8">
        <f>SUMIFS('Main Event SPT - Dia Final'!$C$8:$C$221,'Main Event SPT - Dia Final'!$D$8:$D$221,$C222)</f>
        <v>10</v>
      </c>
      <c r="N222" s="8">
        <f>SUMIFS('SECOND CHANCE'!$C$8:$C$86,'SECOND CHANCE'!$D$8:$D$86,$C222)</f>
        <v>0</v>
      </c>
      <c r="O222" s="8">
        <f>SUMIFS('HIGH ROLLER 50K'!$C$8:$C$38,'HIGH ROLLER 50K'!$D$8:$D$38,$C222)</f>
        <v>0</v>
      </c>
      <c r="P222" s="8">
        <f>SUMIFS('OMAHA DEALER´S CHOICE'!$C$8:$C$30,'OMAHA DEALER´S CHOICE'!$D$8:$D$30,$C222)</f>
        <v>0</v>
      </c>
    </row>
    <row r="223" spans="1:16">
      <c r="A223" s="4">
        <f t="shared" si="6"/>
        <v>173</v>
      </c>
      <c r="B223" s="5" t="s">
        <v>443</v>
      </c>
      <c r="C223" s="6" t="s">
        <v>444</v>
      </c>
      <c r="D223" s="7">
        <f t="shared" si="7"/>
        <v>10</v>
      </c>
      <c r="E223" s="4">
        <f>COUNTIF('200K OMAHA 5 K.O'!$D$8:$D$37,$C223)+COUNTIF(HORSE!$D$8:$D$26,$C223)+COUNTIF('SUPER K.O'!$D$8:$D$41,$C223)+COUNTIF('8 GAME'!$D$8:$D$21,$C223)+COUNTIF('100K OMAHA MYSTERY BOUNTY'!$D$8:$D$32,$C223)+COUNTIF('CHAMPIONSHIP HIGH ROLLER 200K'!$D$8:$D$72,$C223)+COUNTIF('PLO-NLH DEALER´S CHOICE PIJAMA'!$D$8:$D$27,$C223)+COUNTIF('Main Event SPT - Dia Final'!$D$8:$D$221,$C223)+COUNTIF('SECOND CHANCE'!$D$8:$D$86,$C223)+COUNTIF('HIGH ROLLER 50K'!$D$8:$D$38,$C223)+COUNTIF('OMAHA DEALER´S CHOICE'!$D$8:$D$30,$C223)</f>
        <v>1</v>
      </c>
      <c r="F223" s="8">
        <f>SUMIFS('200K OMAHA 5 K.O'!$C$8:$C$37,'200K OMAHA 5 K.O'!$D$8:$D$37,$C223)</f>
        <v>0</v>
      </c>
      <c r="G223" s="8">
        <f>SUMIFS(HORSE!$C$8:$C$26,HORSE!$D$8:$D$26,$C223)</f>
        <v>0</v>
      </c>
      <c r="H223" s="8">
        <f>SUMIFS('SUPER K.O'!$C$8:$C$41,'SUPER K.O'!$D$8:$D$41,$C223)</f>
        <v>0</v>
      </c>
      <c r="I223" s="8">
        <f>SUMIFS('8 GAME'!$C$8:$C$21,'8 GAME'!$D$8:$D$21,$C223)</f>
        <v>0</v>
      </c>
      <c r="J223" s="8">
        <f>SUMIFS('100K OMAHA MYSTERY BOUNTY'!$C$8:$C$32,'100K OMAHA MYSTERY BOUNTY'!$D$8:$D$32,$C223)</f>
        <v>0</v>
      </c>
      <c r="K223" s="8">
        <f>SUMIFS('CHAMPIONSHIP HIGH ROLLER 200K'!$C$8:$C$72,'CHAMPIONSHIP HIGH ROLLER 200K'!$D$8:$D$72,$C223)</f>
        <v>0</v>
      </c>
      <c r="L223" s="8">
        <f>SUMIFS('PLO-NLH DEALER´S CHOICE PIJAMA'!$C$8:$C$27,'PLO-NLH DEALER´S CHOICE PIJAMA'!$D$8:$D$27,$C223)</f>
        <v>0</v>
      </c>
      <c r="M223" s="8">
        <f>SUMIFS('Main Event SPT - Dia Final'!$C$8:$C$221,'Main Event SPT - Dia Final'!$D$8:$D$221,$C223)</f>
        <v>10</v>
      </c>
      <c r="N223" s="8">
        <f>SUMIFS('SECOND CHANCE'!$C$8:$C$86,'SECOND CHANCE'!$D$8:$D$86,$C223)</f>
        <v>0</v>
      </c>
      <c r="O223" s="8">
        <f>SUMIFS('HIGH ROLLER 50K'!$C$8:$C$38,'HIGH ROLLER 50K'!$D$8:$D$38,$C223)</f>
        <v>0</v>
      </c>
      <c r="P223" s="8">
        <f>SUMIFS('OMAHA DEALER´S CHOICE'!$C$8:$C$30,'OMAHA DEALER´S CHOICE'!$D$8:$D$30,$C223)</f>
        <v>0</v>
      </c>
    </row>
    <row r="224" spans="1:16">
      <c r="A224" s="4">
        <f t="shared" si="6"/>
        <v>173</v>
      </c>
      <c r="B224" s="5" t="s">
        <v>393</v>
      </c>
      <c r="C224" s="6" t="s">
        <v>394</v>
      </c>
      <c r="D224" s="7">
        <f t="shared" si="7"/>
        <v>10</v>
      </c>
      <c r="E224" s="4">
        <f>COUNTIF('200K OMAHA 5 K.O'!$D$8:$D$37,$C224)+COUNTIF(HORSE!$D$8:$D$26,$C224)+COUNTIF('SUPER K.O'!$D$8:$D$41,$C224)+COUNTIF('8 GAME'!$D$8:$D$21,$C224)+COUNTIF('100K OMAHA MYSTERY BOUNTY'!$D$8:$D$32,$C224)+COUNTIF('CHAMPIONSHIP HIGH ROLLER 200K'!$D$8:$D$72,$C224)+COUNTIF('PLO-NLH DEALER´S CHOICE PIJAMA'!$D$8:$D$27,$C224)+COUNTIF('Main Event SPT - Dia Final'!$D$8:$D$221,$C224)+COUNTIF('SECOND CHANCE'!$D$8:$D$86,$C224)+COUNTIF('HIGH ROLLER 50K'!$D$8:$D$38,$C224)+COUNTIF('OMAHA DEALER´S CHOICE'!$D$8:$D$30,$C224)</f>
        <v>1</v>
      </c>
      <c r="F224" s="8">
        <f>SUMIFS('200K OMAHA 5 K.O'!$C$8:$C$37,'200K OMAHA 5 K.O'!$D$8:$D$37,$C224)</f>
        <v>0</v>
      </c>
      <c r="G224" s="8">
        <f>SUMIFS(HORSE!$C$8:$C$26,HORSE!$D$8:$D$26,$C224)</f>
        <v>0</v>
      </c>
      <c r="H224" s="8">
        <f>SUMIFS('SUPER K.O'!$C$8:$C$41,'SUPER K.O'!$D$8:$D$41,$C224)</f>
        <v>0</v>
      </c>
      <c r="I224" s="8">
        <f>SUMIFS('8 GAME'!$C$8:$C$21,'8 GAME'!$D$8:$D$21,$C224)</f>
        <v>0</v>
      </c>
      <c r="J224" s="8">
        <f>SUMIFS('100K OMAHA MYSTERY BOUNTY'!$C$8:$C$32,'100K OMAHA MYSTERY BOUNTY'!$D$8:$D$32,$C224)</f>
        <v>0</v>
      </c>
      <c r="K224" s="8">
        <f>SUMIFS('CHAMPIONSHIP HIGH ROLLER 200K'!$C$8:$C$72,'CHAMPIONSHIP HIGH ROLLER 200K'!$D$8:$D$72,$C224)</f>
        <v>0</v>
      </c>
      <c r="L224" s="8">
        <f>SUMIFS('PLO-NLH DEALER´S CHOICE PIJAMA'!$C$8:$C$27,'PLO-NLH DEALER´S CHOICE PIJAMA'!$D$8:$D$27,$C224)</f>
        <v>0</v>
      </c>
      <c r="M224" s="8">
        <f>SUMIFS('Main Event SPT - Dia Final'!$C$8:$C$221,'Main Event SPT - Dia Final'!$D$8:$D$221,$C224)</f>
        <v>10</v>
      </c>
      <c r="N224" s="8">
        <f>SUMIFS('SECOND CHANCE'!$C$8:$C$86,'SECOND CHANCE'!$D$8:$D$86,$C224)</f>
        <v>0</v>
      </c>
      <c r="O224" s="8">
        <f>SUMIFS('HIGH ROLLER 50K'!$C$8:$C$38,'HIGH ROLLER 50K'!$D$8:$D$38,$C224)</f>
        <v>0</v>
      </c>
      <c r="P224" s="8">
        <f>SUMIFS('OMAHA DEALER´S CHOICE'!$C$8:$C$30,'OMAHA DEALER´S CHOICE'!$D$8:$D$30,$C224)</f>
        <v>0</v>
      </c>
    </row>
    <row r="225" spans="1:16">
      <c r="A225" s="4">
        <f t="shared" si="6"/>
        <v>173</v>
      </c>
      <c r="B225" s="5" t="s">
        <v>363</v>
      </c>
      <c r="C225" s="6" t="s">
        <v>364</v>
      </c>
      <c r="D225" s="7">
        <f t="shared" si="7"/>
        <v>10</v>
      </c>
      <c r="E225" s="4">
        <f>COUNTIF('200K OMAHA 5 K.O'!$D$8:$D$37,$C225)+COUNTIF(HORSE!$D$8:$D$26,$C225)+COUNTIF('SUPER K.O'!$D$8:$D$41,$C225)+COUNTIF('8 GAME'!$D$8:$D$21,$C225)+COUNTIF('100K OMAHA MYSTERY BOUNTY'!$D$8:$D$32,$C225)+COUNTIF('CHAMPIONSHIP HIGH ROLLER 200K'!$D$8:$D$72,$C225)+COUNTIF('PLO-NLH DEALER´S CHOICE PIJAMA'!$D$8:$D$27,$C225)+COUNTIF('Main Event SPT - Dia Final'!$D$8:$D$221,$C225)+COUNTIF('SECOND CHANCE'!$D$8:$D$86,$C225)+COUNTIF('HIGH ROLLER 50K'!$D$8:$D$38,$C225)+COUNTIF('OMAHA DEALER´S CHOICE'!$D$8:$D$30,$C225)</f>
        <v>1</v>
      </c>
      <c r="F225" s="8">
        <f>SUMIFS('200K OMAHA 5 K.O'!$C$8:$C$37,'200K OMAHA 5 K.O'!$D$8:$D$37,$C225)</f>
        <v>0</v>
      </c>
      <c r="G225" s="8">
        <f>SUMIFS(HORSE!$C$8:$C$26,HORSE!$D$8:$D$26,$C225)</f>
        <v>0</v>
      </c>
      <c r="H225" s="8">
        <f>SUMIFS('SUPER K.O'!$C$8:$C$41,'SUPER K.O'!$D$8:$D$41,$C225)</f>
        <v>0</v>
      </c>
      <c r="I225" s="8">
        <f>SUMIFS('8 GAME'!$C$8:$C$21,'8 GAME'!$D$8:$D$21,$C225)</f>
        <v>0</v>
      </c>
      <c r="J225" s="8">
        <f>SUMIFS('100K OMAHA MYSTERY BOUNTY'!$C$8:$C$32,'100K OMAHA MYSTERY BOUNTY'!$D$8:$D$32,$C225)</f>
        <v>0</v>
      </c>
      <c r="K225" s="8">
        <f>SUMIFS('CHAMPIONSHIP HIGH ROLLER 200K'!$C$8:$C$72,'CHAMPIONSHIP HIGH ROLLER 200K'!$D$8:$D$72,$C225)</f>
        <v>0</v>
      </c>
      <c r="L225" s="8">
        <f>SUMIFS('PLO-NLH DEALER´S CHOICE PIJAMA'!$C$8:$C$27,'PLO-NLH DEALER´S CHOICE PIJAMA'!$D$8:$D$27,$C225)</f>
        <v>0</v>
      </c>
      <c r="M225" s="8">
        <f>SUMIFS('Main Event SPT - Dia Final'!$C$8:$C$221,'Main Event SPT - Dia Final'!$D$8:$D$221,$C225)</f>
        <v>10</v>
      </c>
      <c r="N225" s="8">
        <f>SUMIFS('SECOND CHANCE'!$C$8:$C$86,'SECOND CHANCE'!$D$8:$D$86,$C225)</f>
        <v>0</v>
      </c>
      <c r="O225" s="8">
        <f>SUMIFS('HIGH ROLLER 50K'!$C$8:$C$38,'HIGH ROLLER 50K'!$D$8:$D$38,$C225)</f>
        <v>0</v>
      </c>
      <c r="P225" s="8">
        <f>SUMIFS('OMAHA DEALER´S CHOICE'!$C$8:$C$30,'OMAHA DEALER´S CHOICE'!$D$8:$D$30,$C225)</f>
        <v>0</v>
      </c>
    </row>
    <row r="226" spans="1:16">
      <c r="A226" s="4">
        <f t="shared" si="6"/>
        <v>173</v>
      </c>
      <c r="B226" s="5" t="s">
        <v>377</v>
      </c>
      <c r="C226" s="6" t="s">
        <v>378</v>
      </c>
      <c r="D226" s="7">
        <f t="shared" si="7"/>
        <v>10</v>
      </c>
      <c r="E226" s="4">
        <f>COUNTIF('200K OMAHA 5 K.O'!$D$8:$D$37,$C226)+COUNTIF(HORSE!$D$8:$D$26,$C226)+COUNTIF('SUPER K.O'!$D$8:$D$41,$C226)+COUNTIF('8 GAME'!$D$8:$D$21,$C226)+COUNTIF('100K OMAHA MYSTERY BOUNTY'!$D$8:$D$32,$C226)+COUNTIF('CHAMPIONSHIP HIGH ROLLER 200K'!$D$8:$D$72,$C226)+COUNTIF('PLO-NLH DEALER´S CHOICE PIJAMA'!$D$8:$D$27,$C226)+COUNTIF('Main Event SPT - Dia Final'!$D$8:$D$221,$C226)+COUNTIF('SECOND CHANCE'!$D$8:$D$86,$C226)+COUNTIF('HIGH ROLLER 50K'!$D$8:$D$38,$C226)+COUNTIF('OMAHA DEALER´S CHOICE'!$D$8:$D$30,$C226)</f>
        <v>1</v>
      </c>
      <c r="F226" s="8">
        <f>SUMIFS('200K OMAHA 5 K.O'!$C$8:$C$37,'200K OMAHA 5 K.O'!$D$8:$D$37,$C226)</f>
        <v>0</v>
      </c>
      <c r="G226" s="8">
        <f>SUMIFS(HORSE!$C$8:$C$26,HORSE!$D$8:$D$26,$C226)</f>
        <v>0</v>
      </c>
      <c r="H226" s="8">
        <f>SUMIFS('SUPER K.O'!$C$8:$C$41,'SUPER K.O'!$D$8:$D$41,$C226)</f>
        <v>0</v>
      </c>
      <c r="I226" s="8">
        <f>SUMIFS('8 GAME'!$C$8:$C$21,'8 GAME'!$D$8:$D$21,$C226)</f>
        <v>0</v>
      </c>
      <c r="J226" s="8">
        <f>SUMIFS('100K OMAHA MYSTERY BOUNTY'!$C$8:$C$32,'100K OMAHA MYSTERY BOUNTY'!$D$8:$D$32,$C226)</f>
        <v>0</v>
      </c>
      <c r="K226" s="8">
        <f>SUMIFS('CHAMPIONSHIP HIGH ROLLER 200K'!$C$8:$C$72,'CHAMPIONSHIP HIGH ROLLER 200K'!$D$8:$D$72,$C226)</f>
        <v>0</v>
      </c>
      <c r="L226" s="8">
        <f>SUMIFS('PLO-NLH DEALER´S CHOICE PIJAMA'!$C$8:$C$27,'PLO-NLH DEALER´S CHOICE PIJAMA'!$D$8:$D$27,$C226)</f>
        <v>0</v>
      </c>
      <c r="M226" s="8">
        <f>SUMIFS('Main Event SPT - Dia Final'!$C$8:$C$221,'Main Event SPT - Dia Final'!$D$8:$D$221,$C226)</f>
        <v>10</v>
      </c>
      <c r="N226" s="8">
        <f>SUMIFS('SECOND CHANCE'!$C$8:$C$86,'SECOND CHANCE'!$D$8:$D$86,$C226)</f>
        <v>0</v>
      </c>
      <c r="O226" s="8">
        <f>SUMIFS('HIGH ROLLER 50K'!$C$8:$C$38,'HIGH ROLLER 50K'!$D$8:$D$38,$C226)</f>
        <v>0</v>
      </c>
      <c r="P226" s="8">
        <f>SUMIFS('OMAHA DEALER´S CHOICE'!$C$8:$C$30,'OMAHA DEALER´S CHOICE'!$D$8:$D$30,$C226)</f>
        <v>0</v>
      </c>
    </row>
    <row r="227" spans="1:16">
      <c r="A227" s="4">
        <f t="shared" si="6"/>
        <v>173</v>
      </c>
      <c r="B227" s="5" t="s">
        <v>371</v>
      </c>
      <c r="C227" s="6" t="s">
        <v>372</v>
      </c>
      <c r="D227" s="7">
        <f t="shared" si="7"/>
        <v>10</v>
      </c>
      <c r="E227" s="4">
        <f>COUNTIF('200K OMAHA 5 K.O'!$D$8:$D$37,$C227)+COUNTIF(HORSE!$D$8:$D$26,$C227)+COUNTIF('SUPER K.O'!$D$8:$D$41,$C227)+COUNTIF('8 GAME'!$D$8:$D$21,$C227)+COUNTIF('100K OMAHA MYSTERY BOUNTY'!$D$8:$D$32,$C227)+COUNTIF('CHAMPIONSHIP HIGH ROLLER 200K'!$D$8:$D$72,$C227)+COUNTIF('PLO-NLH DEALER´S CHOICE PIJAMA'!$D$8:$D$27,$C227)+COUNTIF('Main Event SPT - Dia Final'!$D$8:$D$221,$C227)+COUNTIF('SECOND CHANCE'!$D$8:$D$86,$C227)+COUNTIF('HIGH ROLLER 50K'!$D$8:$D$38,$C227)+COUNTIF('OMAHA DEALER´S CHOICE'!$D$8:$D$30,$C227)</f>
        <v>1</v>
      </c>
      <c r="F227" s="8">
        <f>SUMIFS('200K OMAHA 5 K.O'!$C$8:$C$37,'200K OMAHA 5 K.O'!$D$8:$D$37,$C227)</f>
        <v>0</v>
      </c>
      <c r="G227" s="8">
        <f>SUMIFS(HORSE!$C$8:$C$26,HORSE!$D$8:$D$26,$C227)</f>
        <v>0</v>
      </c>
      <c r="H227" s="8">
        <f>SUMIFS('SUPER K.O'!$C$8:$C$41,'SUPER K.O'!$D$8:$D$41,$C227)</f>
        <v>0</v>
      </c>
      <c r="I227" s="8">
        <f>SUMIFS('8 GAME'!$C$8:$C$21,'8 GAME'!$D$8:$D$21,$C227)</f>
        <v>0</v>
      </c>
      <c r="J227" s="8">
        <f>SUMIFS('100K OMAHA MYSTERY BOUNTY'!$C$8:$C$32,'100K OMAHA MYSTERY BOUNTY'!$D$8:$D$32,$C227)</f>
        <v>0</v>
      </c>
      <c r="K227" s="8">
        <f>SUMIFS('CHAMPIONSHIP HIGH ROLLER 200K'!$C$8:$C$72,'CHAMPIONSHIP HIGH ROLLER 200K'!$D$8:$D$72,$C227)</f>
        <v>0</v>
      </c>
      <c r="L227" s="8">
        <f>SUMIFS('PLO-NLH DEALER´S CHOICE PIJAMA'!$C$8:$C$27,'PLO-NLH DEALER´S CHOICE PIJAMA'!$D$8:$D$27,$C227)</f>
        <v>0</v>
      </c>
      <c r="M227" s="8">
        <f>SUMIFS('Main Event SPT - Dia Final'!$C$8:$C$221,'Main Event SPT - Dia Final'!$D$8:$D$221,$C227)</f>
        <v>10</v>
      </c>
      <c r="N227" s="8">
        <f>SUMIFS('SECOND CHANCE'!$C$8:$C$86,'SECOND CHANCE'!$D$8:$D$86,$C227)</f>
        <v>0</v>
      </c>
      <c r="O227" s="8">
        <f>SUMIFS('HIGH ROLLER 50K'!$C$8:$C$38,'HIGH ROLLER 50K'!$D$8:$D$38,$C227)</f>
        <v>0</v>
      </c>
      <c r="P227" s="8">
        <f>SUMIFS('OMAHA DEALER´S CHOICE'!$C$8:$C$30,'OMAHA DEALER´S CHOICE'!$D$8:$D$30,$C227)</f>
        <v>0</v>
      </c>
    </row>
    <row r="228" spans="1:16">
      <c r="A228" s="4">
        <f t="shared" si="6"/>
        <v>173</v>
      </c>
      <c r="B228" s="5" t="s">
        <v>355</v>
      </c>
      <c r="C228" s="6" t="s">
        <v>356</v>
      </c>
      <c r="D228" s="7">
        <f t="shared" si="7"/>
        <v>10</v>
      </c>
      <c r="E228" s="4">
        <f>COUNTIF('200K OMAHA 5 K.O'!$D$8:$D$37,$C228)+COUNTIF(HORSE!$D$8:$D$26,$C228)+COUNTIF('SUPER K.O'!$D$8:$D$41,$C228)+COUNTIF('8 GAME'!$D$8:$D$21,$C228)+COUNTIF('100K OMAHA MYSTERY BOUNTY'!$D$8:$D$32,$C228)+COUNTIF('CHAMPIONSHIP HIGH ROLLER 200K'!$D$8:$D$72,$C228)+COUNTIF('PLO-NLH DEALER´S CHOICE PIJAMA'!$D$8:$D$27,$C228)+COUNTIF('Main Event SPT - Dia Final'!$D$8:$D$221,$C228)+COUNTIF('SECOND CHANCE'!$D$8:$D$86,$C228)+COUNTIF('HIGH ROLLER 50K'!$D$8:$D$38,$C228)+COUNTIF('OMAHA DEALER´S CHOICE'!$D$8:$D$30,$C228)</f>
        <v>1</v>
      </c>
      <c r="F228" s="8">
        <f>SUMIFS('200K OMAHA 5 K.O'!$C$8:$C$37,'200K OMAHA 5 K.O'!$D$8:$D$37,$C228)</f>
        <v>0</v>
      </c>
      <c r="G228" s="8">
        <f>SUMIFS(HORSE!$C$8:$C$26,HORSE!$D$8:$D$26,$C228)</f>
        <v>0</v>
      </c>
      <c r="H228" s="8">
        <f>SUMIFS('SUPER K.O'!$C$8:$C$41,'SUPER K.O'!$D$8:$D$41,$C228)</f>
        <v>0</v>
      </c>
      <c r="I228" s="8">
        <f>SUMIFS('8 GAME'!$C$8:$C$21,'8 GAME'!$D$8:$D$21,$C228)</f>
        <v>0</v>
      </c>
      <c r="J228" s="8">
        <f>SUMIFS('100K OMAHA MYSTERY BOUNTY'!$C$8:$C$32,'100K OMAHA MYSTERY BOUNTY'!$D$8:$D$32,$C228)</f>
        <v>0</v>
      </c>
      <c r="K228" s="8">
        <f>SUMIFS('CHAMPIONSHIP HIGH ROLLER 200K'!$C$8:$C$72,'CHAMPIONSHIP HIGH ROLLER 200K'!$D$8:$D$72,$C228)</f>
        <v>0</v>
      </c>
      <c r="L228" s="8">
        <f>SUMIFS('PLO-NLH DEALER´S CHOICE PIJAMA'!$C$8:$C$27,'PLO-NLH DEALER´S CHOICE PIJAMA'!$D$8:$D$27,$C228)</f>
        <v>0</v>
      </c>
      <c r="M228" s="8">
        <f>SUMIFS('Main Event SPT - Dia Final'!$C$8:$C$221,'Main Event SPT - Dia Final'!$D$8:$D$221,$C228)</f>
        <v>10</v>
      </c>
      <c r="N228" s="8">
        <f>SUMIFS('SECOND CHANCE'!$C$8:$C$86,'SECOND CHANCE'!$D$8:$D$86,$C228)</f>
        <v>0</v>
      </c>
      <c r="O228" s="8">
        <f>SUMIFS('HIGH ROLLER 50K'!$C$8:$C$38,'HIGH ROLLER 50K'!$D$8:$D$38,$C228)</f>
        <v>0</v>
      </c>
      <c r="P228" s="8">
        <f>SUMIFS('OMAHA DEALER´S CHOICE'!$C$8:$C$30,'OMAHA DEALER´S CHOICE'!$D$8:$D$30,$C228)</f>
        <v>0</v>
      </c>
    </row>
    <row r="229" spans="1:16">
      <c r="A229" s="4">
        <f t="shared" si="6"/>
        <v>173</v>
      </c>
      <c r="B229" s="5" t="s">
        <v>483</v>
      </c>
      <c r="C229" s="6" t="s">
        <v>484</v>
      </c>
      <c r="D229" s="7">
        <f t="shared" si="7"/>
        <v>10</v>
      </c>
      <c r="E229" s="4">
        <f>COUNTIF('200K OMAHA 5 K.O'!$D$8:$D$37,$C229)+COUNTIF(HORSE!$D$8:$D$26,$C229)+COUNTIF('SUPER K.O'!$D$8:$D$41,$C229)+COUNTIF('8 GAME'!$D$8:$D$21,$C229)+COUNTIF('100K OMAHA MYSTERY BOUNTY'!$D$8:$D$32,$C229)+COUNTIF('CHAMPIONSHIP HIGH ROLLER 200K'!$D$8:$D$72,$C229)+COUNTIF('PLO-NLH DEALER´S CHOICE PIJAMA'!$D$8:$D$27,$C229)+COUNTIF('Main Event SPT - Dia Final'!$D$8:$D$221,$C229)+COUNTIF('SECOND CHANCE'!$D$8:$D$86,$C229)+COUNTIF('HIGH ROLLER 50K'!$D$8:$D$38,$C229)+COUNTIF('OMAHA DEALER´S CHOICE'!$D$8:$D$30,$C229)</f>
        <v>1</v>
      </c>
      <c r="F229" s="8">
        <f>SUMIFS('200K OMAHA 5 K.O'!$C$8:$C$37,'200K OMAHA 5 K.O'!$D$8:$D$37,$C229)</f>
        <v>0</v>
      </c>
      <c r="G229" s="8">
        <f>SUMIFS(HORSE!$C$8:$C$26,HORSE!$D$8:$D$26,$C229)</f>
        <v>0</v>
      </c>
      <c r="H229" s="8">
        <f>SUMIFS('SUPER K.O'!$C$8:$C$41,'SUPER K.O'!$D$8:$D$41,$C229)</f>
        <v>0</v>
      </c>
      <c r="I229" s="8">
        <f>SUMIFS('8 GAME'!$C$8:$C$21,'8 GAME'!$D$8:$D$21,$C229)</f>
        <v>0</v>
      </c>
      <c r="J229" s="8">
        <f>SUMIFS('100K OMAHA MYSTERY BOUNTY'!$C$8:$C$32,'100K OMAHA MYSTERY BOUNTY'!$D$8:$D$32,$C229)</f>
        <v>0</v>
      </c>
      <c r="K229" s="8">
        <f>SUMIFS('CHAMPIONSHIP HIGH ROLLER 200K'!$C$8:$C$72,'CHAMPIONSHIP HIGH ROLLER 200K'!$D$8:$D$72,$C229)</f>
        <v>0</v>
      </c>
      <c r="L229" s="8">
        <f>SUMIFS('PLO-NLH DEALER´S CHOICE PIJAMA'!$C$8:$C$27,'PLO-NLH DEALER´S CHOICE PIJAMA'!$D$8:$D$27,$C229)</f>
        <v>0</v>
      </c>
      <c r="M229" s="8">
        <f>SUMIFS('Main Event SPT - Dia Final'!$C$8:$C$221,'Main Event SPT - Dia Final'!$D$8:$D$221,$C229)</f>
        <v>10</v>
      </c>
      <c r="N229" s="8">
        <f>SUMIFS('SECOND CHANCE'!$C$8:$C$86,'SECOND CHANCE'!$D$8:$D$86,$C229)</f>
        <v>0</v>
      </c>
      <c r="O229" s="8">
        <f>SUMIFS('HIGH ROLLER 50K'!$C$8:$C$38,'HIGH ROLLER 50K'!$D$8:$D$38,$C229)</f>
        <v>0</v>
      </c>
      <c r="P229" s="8">
        <f>SUMIFS('OMAHA DEALER´S CHOICE'!$C$8:$C$30,'OMAHA DEALER´S CHOICE'!$D$8:$D$30,$C229)</f>
        <v>0</v>
      </c>
    </row>
    <row r="230" spans="1:16">
      <c r="A230" s="4">
        <f t="shared" si="6"/>
        <v>173</v>
      </c>
      <c r="B230" s="5" t="s">
        <v>475</v>
      </c>
      <c r="C230" s="6" t="s">
        <v>476</v>
      </c>
      <c r="D230" s="7">
        <f t="shared" si="7"/>
        <v>10</v>
      </c>
      <c r="E230" s="4">
        <f>COUNTIF('200K OMAHA 5 K.O'!$D$8:$D$37,$C230)+COUNTIF(HORSE!$D$8:$D$26,$C230)+COUNTIF('SUPER K.O'!$D$8:$D$41,$C230)+COUNTIF('8 GAME'!$D$8:$D$21,$C230)+COUNTIF('100K OMAHA MYSTERY BOUNTY'!$D$8:$D$32,$C230)+COUNTIF('CHAMPIONSHIP HIGH ROLLER 200K'!$D$8:$D$72,$C230)+COUNTIF('PLO-NLH DEALER´S CHOICE PIJAMA'!$D$8:$D$27,$C230)+COUNTIF('Main Event SPT - Dia Final'!$D$8:$D$221,$C230)+COUNTIF('SECOND CHANCE'!$D$8:$D$86,$C230)+COUNTIF('HIGH ROLLER 50K'!$D$8:$D$38,$C230)+COUNTIF('OMAHA DEALER´S CHOICE'!$D$8:$D$30,$C230)</f>
        <v>1</v>
      </c>
      <c r="F230" s="8">
        <f>SUMIFS('200K OMAHA 5 K.O'!$C$8:$C$37,'200K OMAHA 5 K.O'!$D$8:$D$37,$C230)</f>
        <v>0</v>
      </c>
      <c r="G230" s="8">
        <f>SUMIFS(HORSE!$C$8:$C$26,HORSE!$D$8:$D$26,$C230)</f>
        <v>0</v>
      </c>
      <c r="H230" s="8">
        <f>SUMIFS('SUPER K.O'!$C$8:$C$41,'SUPER K.O'!$D$8:$D$41,$C230)</f>
        <v>0</v>
      </c>
      <c r="I230" s="8">
        <f>SUMIFS('8 GAME'!$C$8:$C$21,'8 GAME'!$D$8:$D$21,$C230)</f>
        <v>0</v>
      </c>
      <c r="J230" s="8">
        <f>SUMIFS('100K OMAHA MYSTERY BOUNTY'!$C$8:$C$32,'100K OMAHA MYSTERY BOUNTY'!$D$8:$D$32,$C230)</f>
        <v>0</v>
      </c>
      <c r="K230" s="8">
        <f>SUMIFS('CHAMPIONSHIP HIGH ROLLER 200K'!$C$8:$C$72,'CHAMPIONSHIP HIGH ROLLER 200K'!$D$8:$D$72,$C230)</f>
        <v>0</v>
      </c>
      <c r="L230" s="8">
        <f>SUMIFS('PLO-NLH DEALER´S CHOICE PIJAMA'!$C$8:$C$27,'PLO-NLH DEALER´S CHOICE PIJAMA'!$D$8:$D$27,$C230)</f>
        <v>0</v>
      </c>
      <c r="M230" s="8">
        <f>SUMIFS('Main Event SPT - Dia Final'!$C$8:$C$221,'Main Event SPT - Dia Final'!$D$8:$D$221,$C230)</f>
        <v>10</v>
      </c>
      <c r="N230" s="8">
        <f>SUMIFS('SECOND CHANCE'!$C$8:$C$86,'SECOND CHANCE'!$D$8:$D$86,$C230)</f>
        <v>0</v>
      </c>
      <c r="O230" s="8">
        <f>SUMIFS('HIGH ROLLER 50K'!$C$8:$C$38,'HIGH ROLLER 50K'!$D$8:$D$38,$C230)</f>
        <v>0</v>
      </c>
      <c r="P230" s="8">
        <f>SUMIFS('OMAHA DEALER´S CHOICE'!$C$8:$C$30,'OMAHA DEALER´S CHOICE'!$D$8:$D$30,$C230)</f>
        <v>0</v>
      </c>
    </row>
    <row r="231" spans="1:16">
      <c r="A231" s="4">
        <f t="shared" si="6"/>
        <v>173</v>
      </c>
      <c r="B231" s="5" t="s">
        <v>353</v>
      </c>
      <c r="C231" s="6" t="s">
        <v>354</v>
      </c>
      <c r="D231" s="7">
        <f t="shared" si="7"/>
        <v>10</v>
      </c>
      <c r="E231" s="4">
        <f>COUNTIF('200K OMAHA 5 K.O'!$D$8:$D$37,$C231)+COUNTIF(HORSE!$D$8:$D$26,$C231)+COUNTIF('SUPER K.O'!$D$8:$D$41,$C231)+COUNTIF('8 GAME'!$D$8:$D$21,$C231)+COUNTIF('100K OMAHA MYSTERY BOUNTY'!$D$8:$D$32,$C231)+COUNTIF('CHAMPIONSHIP HIGH ROLLER 200K'!$D$8:$D$72,$C231)+COUNTIF('PLO-NLH DEALER´S CHOICE PIJAMA'!$D$8:$D$27,$C231)+COUNTIF('Main Event SPT - Dia Final'!$D$8:$D$221,$C231)+COUNTIF('SECOND CHANCE'!$D$8:$D$86,$C231)+COUNTIF('HIGH ROLLER 50K'!$D$8:$D$38,$C231)+COUNTIF('OMAHA DEALER´S CHOICE'!$D$8:$D$30,$C231)</f>
        <v>1</v>
      </c>
      <c r="F231" s="8">
        <f>SUMIFS('200K OMAHA 5 K.O'!$C$8:$C$37,'200K OMAHA 5 K.O'!$D$8:$D$37,$C231)</f>
        <v>0</v>
      </c>
      <c r="G231" s="8">
        <f>SUMIFS(HORSE!$C$8:$C$26,HORSE!$D$8:$D$26,$C231)</f>
        <v>0</v>
      </c>
      <c r="H231" s="8">
        <f>SUMIFS('SUPER K.O'!$C$8:$C$41,'SUPER K.O'!$D$8:$D$41,$C231)</f>
        <v>0</v>
      </c>
      <c r="I231" s="8">
        <f>SUMIFS('8 GAME'!$C$8:$C$21,'8 GAME'!$D$8:$D$21,$C231)</f>
        <v>0</v>
      </c>
      <c r="J231" s="8">
        <f>SUMIFS('100K OMAHA MYSTERY BOUNTY'!$C$8:$C$32,'100K OMAHA MYSTERY BOUNTY'!$D$8:$D$32,$C231)</f>
        <v>0</v>
      </c>
      <c r="K231" s="8">
        <f>SUMIFS('CHAMPIONSHIP HIGH ROLLER 200K'!$C$8:$C$72,'CHAMPIONSHIP HIGH ROLLER 200K'!$D$8:$D$72,$C231)</f>
        <v>0</v>
      </c>
      <c r="L231" s="8">
        <f>SUMIFS('PLO-NLH DEALER´S CHOICE PIJAMA'!$C$8:$C$27,'PLO-NLH DEALER´S CHOICE PIJAMA'!$D$8:$D$27,$C231)</f>
        <v>0</v>
      </c>
      <c r="M231" s="8">
        <f>SUMIFS('Main Event SPT - Dia Final'!$C$8:$C$221,'Main Event SPT - Dia Final'!$D$8:$D$221,$C231)</f>
        <v>10</v>
      </c>
      <c r="N231" s="8">
        <f>SUMIFS('SECOND CHANCE'!$C$8:$C$86,'SECOND CHANCE'!$D$8:$D$86,$C231)</f>
        <v>0</v>
      </c>
      <c r="O231" s="8">
        <f>SUMIFS('HIGH ROLLER 50K'!$C$8:$C$38,'HIGH ROLLER 50K'!$D$8:$D$38,$C231)</f>
        <v>0</v>
      </c>
      <c r="P231" s="8">
        <f>SUMIFS('OMAHA DEALER´S CHOICE'!$C$8:$C$30,'OMAHA DEALER´S CHOICE'!$D$8:$D$30,$C231)</f>
        <v>0</v>
      </c>
    </row>
    <row r="232" spans="1:16">
      <c r="A232" s="4">
        <f t="shared" si="6"/>
        <v>173</v>
      </c>
      <c r="B232" s="5" t="s">
        <v>397</v>
      </c>
      <c r="C232" s="6" t="s">
        <v>398</v>
      </c>
      <c r="D232" s="7">
        <f t="shared" si="7"/>
        <v>10</v>
      </c>
      <c r="E232" s="4">
        <f>COUNTIF('200K OMAHA 5 K.O'!$D$8:$D$37,$C232)+COUNTIF(HORSE!$D$8:$D$26,$C232)+COUNTIF('SUPER K.O'!$D$8:$D$41,$C232)+COUNTIF('8 GAME'!$D$8:$D$21,$C232)+COUNTIF('100K OMAHA MYSTERY BOUNTY'!$D$8:$D$32,$C232)+COUNTIF('CHAMPIONSHIP HIGH ROLLER 200K'!$D$8:$D$72,$C232)+COUNTIF('PLO-NLH DEALER´S CHOICE PIJAMA'!$D$8:$D$27,$C232)+COUNTIF('Main Event SPT - Dia Final'!$D$8:$D$221,$C232)+COUNTIF('SECOND CHANCE'!$D$8:$D$86,$C232)+COUNTIF('HIGH ROLLER 50K'!$D$8:$D$38,$C232)+COUNTIF('OMAHA DEALER´S CHOICE'!$D$8:$D$30,$C232)</f>
        <v>1</v>
      </c>
      <c r="F232" s="8">
        <f>SUMIFS('200K OMAHA 5 K.O'!$C$8:$C$37,'200K OMAHA 5 K.O'!$D$8:$D$37,$C232)</f>
        <v>0</v>
      </c>
      <c r="G232" s="8">
        <f>SUMIFS(HORSE!$C$8:$C$26,HORSE!$D$8:$D$26,$C232)</f>
        <v>0</v>
      </c>
      <c r="H232" s="8">
        <f>SUMIFS('SUPER K.O'!$C$8:$C$41,'SUPER K.O'!$D$8:$D$41,$C232)</f>
        <v>0</v>
      </c>
      <c r="I232" s="8">
        <f>SUMIFS('8 GAME'!$C$8:$C$21,'8 GAME'!$D$8:$D$21,$C232)</f>
        <v>0</v>
      </c>
      <c r="J232" s="8">
        <f>SUMIFS('100K OMAHA MYSTERY BOUNTY'!$C$8:$C$32,'100K OMAHA MYSTERY BOUNTY'!$D$8:$D$32,$C232)</f>
        <v>0</v>
      </c>
      <c r="K232" s="8">
        <f>SUMIFS('CHAMPIONSHIP HIGH ROLLER 200K'!$C$8:$C$72,'CHAMPIONSHIP HIGH ROLLER 200K'!$D$8:$D$72,$C232)</f>
        <v>0</v>
      </c>
      <c r="L232" s="8">
        <f>SUMIFS('PLO-NLH DEALER´S CHOICE PIJAMA'!$C$8:$C$27,'PLO-NLH DEALER´S CHOICE PIJAMA'!$D$8:$D$27,$C232)</f>
        <v>0</v>
      </c>
      <c r="M232" s="8">
        <f>SUMIFS('Main Event SPT - Dia Final'!$C$8:$C$221,'Main Event SPT - Dia Final'!$D$8:$D$221,$C232)</f>
        <v>10</v>
      </c>
      <c r="N232" s="8">
        <f>SUMIFS('SECOND CHANCE'!$C$8:$C$86,'SECOND CHANCE'!$D$8:$D$86,$C232)</f>
        <v>0</v>
      </c>
      <c r="O232" s="8">
        <f>SUMIFS('HIGH ROLLER 50K'!$C$8:$C$38,'HIGH ROLLER 50K'!$D$8:$D$38,$C232)</f>
        <v>0</v>
      </c>
      <c r="P232" s="8">
        <f>SUMIFS('OMAHA DEALER´S CHOICE'!$C$8:$C$30,'OMAHA DEALER´S CHOICE'!$D$8:$D$30,$C232)</f>
        <v>0</v>
      </c>
    </row>
    <row r="233" spans="1:16">
      <c r="A233" s="4">
        <f t="shared" si="6"/>
        <v>173</v>
      </c>
      <c r="B233" s="5" t="s">
        <v>407</v>
      </c>
      <c r="C233" s="6" t="s">
        <v>408</v>
      </c>
      <c r="D233" s="7">
        <f t="shared" si="7"/>
        <v>10</v>
      </c>
      <c r="E233" s="4">
        <f>COUNTIF('200K OMAHA 5 K.O'!$D$8:$D$37,$C233)+COUNTIF(HORSE!$D$8:$D$26,$C233)+COUNTIF('SUPER K.O'!$D$8:$D$41,$C233)+COUNTIF('8 GAME'!$D$8:$D$21,$C233)+COUNTIF('100K OMAHA MYSTERY BOUNTY'!$D$8:$D$32,$C233)+COUNTIF('CHAMPIONSHIP HIGH ROLLER 200K'!$D$8:$D$72,$C233)+COUNTIF('PLO-NLH DEALER´S CHOICE PIJAMA'!$D$8:$D$27,$C233)+COUNTIF('Main Event SPT - Dia Final'!$D$8:$D$221,$C233)+COUNTIF('SECOND CHANCE'!$D$8:$D$86,$C233)+COUNTIF('HIGH ROLLER 50K'!$D$8:$D$38,$C233)+COUNTIF('OMAHA DEALER´S CHOICE'!$D$8:$D$30,$C233)</f>
        <v>1</v>
      </c>
      <c r="F233" s="8">
        <f>SUMIFS('200K OMAHA 5 K.O'!$C$8:$C$37,'200K OMAHA 5 K.O'!$D$8:$D$37,$C233)</f>
        <v>0</v>
      </c>
      <c r="G233" s="8">
        <f>SUMIFS(HORSE!$C$8:$C$26,HORSE!$D$8:$D$26,$C233)</f>
        <v>0</v>
      </c>
      <c r="H233" s="8">
        <f>SUMIFS('SUPER K.O'!$C$8:$C$41,'SUPER K.O'!$D$8:$D$41,$C233)</f>
        <v>0</v>
      </c>
      <c r="I233" s="8">
        <f>SUMIFS('8 GAME'!$C$8:$C$21,'8 GAME'!$D$8:$D$21,$C233)</f>
        <v>0</v>
      </c>
      <c r="J233" s="8">
        <f>SUMIFS('100K OMAHA MYSTERY BOUNTY'!$C$8:$C$32,'100K OMAHA MYSTERY BOUNTY'!$D$8:$D$32,$C233)</f>
        <v>0</v>
      </c>
      <c r="K233" s="8">
        <f>SUMIFS('CHAMPIONSHIP HIGH ROLLER 200K'!$C$8:$C$72,'CHAMPIONSHIP HIGH ROLLER 200K'!$D$8:$D$72,$C233)</f>
        <v>0</v>
      </c>
      <c r="L233" s="8">
        <f>SUMIFS('PLO-NLH DEALER´S CHOICE PIJAMA'!$C$8:$C$27,'PLO-NLH DEALER´S CHOICE PIJAMA'!$D$8:$D$27,$C233)</f>
        <v>0</v>
      </c>
      <c r="M233" s="8">
        <f>SUMIFS('Main Event SPT - Dia Final'!$C$8:$C$221,'Main Event SPT - Dia Final'!$D$8:$D$221,$C233)</f>
        <v>10</v>
      </c>
      <c r="N233" s="8">
        <f>SUMIFS('SECOND CHANCE'!$C$8:$C$86,'SECOND CHANCE'!$D$8:$D$86,$C233)</f>
        <v>0</v>
      </c>
      <c r="O233" s="8">
        <f>SUMIFS('HIGH ROLLER 50K'!$C$8:$C$38,'HIGH ROLLER 50K'!$D$8:$D$38,$C233)</f>
        <v>0</v>
      </c>
      <c r="P233" s="8">
        <f>SUMIFS('OMAHA DEALER´S CHOICE'!$C$8:$C$30,'OMAHA DEALER´S CHOICE'!$D$8:$D$30,$C233)</f>
        <v>0</v>
      </c>
    </row>
    <row r="234" spans="1:16">
      <c r="A234" s="4">
        <f t="shared" si="6"/>
        <v>173</v>
      </c>
      <c r="B234" s="5" t="s">
        <v>369</v>
      </c>
      <c r="C234" s="6" t="s">
        <v>370</v>
      </c>
      <c r="D234" s="7">
        <f t="shared" si="7"/>
        <v>10</v>
      </c>
      <c r="E234" s="4">
        <f>COUNTIF('200K OMAHA 5 K.O'!$D$8:$D$37,$C234)+COUNTIF(HORSE!$D$8:$D$26,$C234)+COUNTIF('SUPER K.O'!$D$8:$D$41,$C234)+COUNTIF('8 GAME'!$D$8:$D$21,$C234)+COUNTIF('100K OMAHA MYSTERY BOUNTY'!$D$8:$D$32,$C234)+COUNTIF('CHAMPIONSHIP HIGH ROLLER 200K'!$D$8:$D$72,$C234)+COUNTIF('PLO-NLH DEALER´S CHOICE PIJAMA'!$D$8:$D$27,$C234)+COUNTIF('Main Event SPT - Dia Final'!$D$8:$D$221,$C234)+COUNTIF('SECOND CHANCE'!$D$8:$D$86,$C234)+COUNTIF('HIGH ROLLER 50K'!$D$8:$D$38,$C234)+COUNTIF('OMAHA DEALER´S CHOICE'!$D$8:$D$30,$C234)</f>
        <v>1</v>
      </c>
      <c r="F234" s="8">
        <f>SUMIFS('200K OMAHA 5 K.O'!$C$8:$C$37,'200K OMAHA 5 K.O'!$D$8:$D$37,$C234)</f>
        <v>0</v>
      </c>
      <c r="G234" s="8">
        <f>SUMIFS(HORSE!$C$8:$C$26,HORSE!$D$8:$D$26,$C234)</f>
        <v>0</v>
      </c>
      <c r="H234" s="8">
        <f>SUMIFS('SUPER K.O'!$C$8:$C$41,'SUPER K.O'!$D$8:$D$41,$C234)</f>
        <v>0</v>
      </c>
      <c r="I234" s="8">
        <f>SUMIFS('8 GAME'!$C$8:$C$21,'8 GAME'!$D$8:$D$21,$C234)</f>
        <v>0</v>
      </c>
      <c r="J234" s="8">
        <f>SUMIFS('100K OMAHA MYSTERY BOUNTY'!$C$8:$C$32,'100K OMAHA MYSTERY BOUNTY'!$D$8:$D$32,$C234)</f>
        <v>0</v>
      </c>
      <c r="K234" s="8">
        <f>SUMIFS('CHAMPIONSHIP HIGH ROLLER 200K'!$C$8:$C$72,'CHAMPIONSHIP HIGH ROLLER 200K'!$D$8:$D$72,$C234)</f>
        <v>0</v>
      </c>
      <c r="L234" s="8">
        <f>SUMIFS('PLO-NLH DEALER´S CHOICE PIJAMA'!$C$8:$C$27,'PLO-NLH DEALER´S CHOICE PIJAMA'!$D$8:$D$27,$C234)</f>
        <v>0</v>
      </c>
      <c r="M234" s="8">
        <f>SUMIFS('Main Event SPT - Dia Final'!$C$8:$C$221,'Main Event SPT - Dia Final'!$D$8:$D$221,$C234)</f>
        <v>10</v>
      </c>
      <c r="N234" s="8">
        <f>SUMIFS('SECOND CHANCE'!$C$8:$C$86,'SECOND CHANCE'!$D$8:$D$86,$C234)</f>
        <v>0</v>
      </c>
      <c r="O234" s="8">
        <f>SUMIFS('HIGH ROLLER 50K'!$C$8:$C$38,'HIGH ROLLER 50K'!$D$8:$D$38,$C234)</f>
        <v>0</v>
      </c>
      <c r="P234" s="8">
        <f>SUMIFS('OMAHA DEALER´S CHOICE'!$C$8:$C$30,'OMAHA DEALER´S CHOICE'!$D$8:$D$30,$C234)</f>
        <v>0</v>
      </c>
    </row>
    <row r="235" spans="1:16">
      <c r="A235" s="4">
        <f t="shared" si="6"/>
        <v>173</v>
      </c>
      <c r="B235" s="5" t="s">
        <v>445</v>
      </c>
      <c r="C235" s="6" t="s">
        <v>446</v>
      </c>
      <c r="D235" s="7">
        <f t="shared" si="7"/>
        <v>10</v>
      </c>
      <c r="E235" s="4">
        <f>COUNTIF('200K OMAHA 5 K.O'!$D$8:$D$37,$C235)+COUNTIF(HORSE!$D$8:$D$26,$C235)+COUNTIF('SUPER K.O'!$D$8:$D$41,$C235)+COUNTIF('8 GAME'!$D$8:$D$21,$C235)+COUNTIF('100K OMAHA MYSTERY BOUNTY'!$D$8:$D$32,$C235)+COUNTIF('CHAMPIONSHIP HIGH ROLLER 200K'!$D$8:$D$72,$C235)+COUNTIF('PLO-NLH DEALER´S CHOICE PIJAMA'!$D$8:$D$27,$C235)+COUNTIF('Main Event SPT - Dia Final'!$D$8:$D$221,$C235)+COUNTIF('SECOND CHANCE'!$D$8:$D$86,$C235)+COUNTIF('HIGH ROLLER 50K'!$D$8:$D$38,$C235)+COUNTIF('OMAHA DEALER´S CHOICE'!$D$8:$D$30,$C235)</f>
        <v>1</v>
      </c>
      <c r="F235" s="8">
        <f>SUMIFS('200K OMAHA 5 K.O'!$C$8:$C$37,'200K OMAHA 5 K.O'!$D$8:$D$37,$C235)</f>
        <v>0</v>
      </c>
      <c r="G235" s="8">
        <f>SUMIFS(HORSE!$C$8:$C$26,HORSE!$D$8:$D$26,$C235)</f>
        <v>0</v>
      </c>
      <c r="H235" s="8">
        <f>SUMIFS('SUPER K.O'!$C$8:$C$41,'SUPER K.O'!$D$8:$D$41,$C235)</f>
        <v>0</v>
      </c>
      <c r="I235" s="8">
        <f>SUMIFS('8 GAME'!$C$8:$C$21,'8 GAME'!$D$8:$D$21,$C235)</f>
        <v>0</v>
      </c>
      <c r="J235" s="8">
        <f>SUMIFS('100K OMAHA MYSTERY BOUNTY'!$C$8:$C$32,'100K OMAHA MYSTERY BOUNTY'!$D$8:$D$32,$C235)</f>
        <v>0</v>
      </c>
      <c r="K235" s="8">
        <f>SUMIFS('CHAMPIONSHIP HIGH ROLLER 200K'!$C$8:$C$72,'CHAMPIONSHIP HIGH ROLLER 200K'!$D$8:$D$72,$C235)</f>
        <v>0</v>
      </c>
      <c r="L235" s="8">
        <f>SUMIFS('PLO-NLH DEALER´S CHOICE PIJAMA'!$C$8:$C$27,'PLO-NLH DEALER´S CHOICE PIJAMA'!$D$8:$D$27,$C235)</f>
        <v>0</v>
      </c>
      <c r="M235" s="8">
        <f>SUMIFS('Main Event SPT - Dia Final'!$C$8:$C$221,'Main Event SPT - Dia Final'!$D$8:$D$221,$C235)</f>
        <v>10</v>
      </c>
      <c r="N235" s="8">
        <f>SUMIFS('SECOND CHANCE'!$C$8:$C$86,'SECOND CHANCE'!$D$8:$D$86,$C235)</f>
        <v>0</v>
      </c>
      <c r="O235" s="8">
        <f>SUMIFS('HIGH ROLLER 50K'!$C$8:$C$38,'HIGH ROLLER 50K'!$D$8:$D$38,$C235)</f>
        <v>0</v>
      </c>
      <c r="P235" s="8">
        <f>SUMIFS('OMAHA DEALER´S CHOICE'!$C$8:$C$30,'OMAHA DEALER´S CHOICE'!$D$8:$D$30,$C235)</f>
        <v>0</v>
      </c>
    </row>
    <row r="236" spans="1:16">
      <c r="A236" s="4">
        <f t="shared" si="6"/>
        <v>173</v>
      </c>
      <c r="B236" s="5" t="s">
        <v>465</v>
      </c>
      <c r="C236" s="6" t="s">
        <v>466</v>
      </c>
      <c r="D236" s="7">
        <f t="shared" si="7"/>
        <v>10</v>
      </c>
      <c r="E236" s="4">
        <f>COUNTIF('200K OMAHA 5 K.O'!$D$8:$D$37,$C236)+COUNTIF(HORSE!$D$8:$D$26,$C236)+COUNTIF('SUPER K.O'!$D$8:$D$41,$C236)+COUNTIF('8 GAME'!$D$8:$D$21,$C236)+COUNTIF('100K OMAHA MYSTERY BOUNTY'!$D$8:$D$32,$C236)+COUNTIF('CHAMPIONSHIP HIGH ROLLER 200K'!$D$8:$D$72,$C236)+COUNTIF('PLO-NLH DEALER´S CHOICE PIJAMA'!$D$8:$D$27,$C236)+COUNTIF('Main Event SPT - Dia Final'!$D$8:$D$221,$C236)+COUNTIF('SECOND CHANCE'!$D$8:$D$86,$C236)+COUNTIF('HIGH ROLLER 50K'!$D$8:$D$38,$C236)+COUNTIF('OMAHA DEALER´S CHOICE'!$D$8:$D$30,$C236)</f>
        <v>1</v>
      </c>
      <c r="F236" s="8">
        <f>SUMIFS('200K OMAHA 5 K.O'!$C$8:$C$37,'200K OMAHA 5 K.O'!$D$8:$D$37,$C236)</f>
        <v>0</v>
      </c>
      <c r="G236" s="8">
        <f>SUMIFS(HORSE!$C$8:$C$26,HORSE!$D$8:$D$26,$C236)</f>
        <v>0</v>
      </c>
      <c r="H236" s="8">
        <f>SUMIFS('SUPER K.O'!$C$8:$C$41,'SUPER K.O'!$D$8:$D$41,$C236)</f>
        <v>0</v>
      </c>
      <c r="I236" s="8">
        <f>SUMIFS('8 GAME'!$C$8:$C$21,'8 GAME'!$D$8:$D$21,$C236)</f>
        <v>0</v>
      </c>
      <c r="J236" s="8">
        <f>SUMIFS('100K OMAHA MYSTERY BOUNTY'!$C$8:$C$32,'100K OMAHA MYSTERY BOUNTY'!$D$8:$D$32,$C236)</f>
        <v>0</v>
      </c>
      <c r="K236" s="8">
        <f>SUMIFS('CHAMPIONSHIP HIGH ROLLER 200K'!$C$8:$C$72,'CHAMPIONSHIP HIGH ROLLER 200K'!$D$8:$D$72,$C236)</f>
        <v>0</v>
      </c>
      <c r="L236" s="8">
        <f>SUMIFS('PLO-NLH DEALER´S CHOICE PIJAMA'!$C$8:$C$27,'PLO-NLH DEALER´S CHOICE PIJAMA'!$D$8:$D$27,$C236)</f>
        <v>0</v>
      </c>
      <c r="M236" s="8">
        <f>SUMIFS('Main Event SPT - Dia Final'!$C$8:$C$221,'Main Event SPT - Dia Final'!$D$8:$D$221,$C236)</f>
        <v>10</v>
      </c>
      <c r="N236" s="8">
        <f>SUMIFS('SECOND CHANCE'!$C$8:$C$86,'SECOND CHANCE'!$D$8:$D$86,$C236)</f>
        <v>0</v>
      </c>
      <c r="O236" s="8">
        <f>SUMIFS('HIGH ROLLER 50K'!$C$8:$C$38,'HIGH ROLLER 50K'!$D$8:$D$38,$C236)</f>
        <v>0</v>
      </c>
      <c r="P236" s="8">
        <f>SUMIFS('OMAHA DEALER´S CHOICE'!$C$8:$C$30,'OMAHA DEALER´S CHOICE'!$D$8:$D$30,$C236)</f>
        <v>0</v>
      </c>
    </row>
    <row r="237" spans="1:16">
      <c r="A237" s="4">
        <f t="shared" si="6"/>
        <v>173</v>
      </c>
      <c r="B237" s="5" t="s">
        <v>499</v>
      </c>
      <c r="C237" s="6" t="s">
        <v>500</v>
      </c>
      <c r="D237" s="7">
        <f t="shared" si="7"/>
        <v>10</v>
      </c>
      <c r="E237" s="4">
        <f>COUNTIF('200K OMAHA 5 K.O'!$D$8:$D$37,$C237)+COUNTIF(HORSE!$D$8:$D$26,$C237)+COUNTIF('SUPER K.O'!$D$8:$D$41,$C237)+COUNTIF('8 GAME'!$D$8:$D$21,$C237)+COUNTIF('100K OMAHA MYSTERY BOUNTY'!$D$8:$D$32,$C237)+COUNTIF('CHAMPIONSHIP HIGH ROLLER 200K'!$D$8:$D$72,$C237)+COUNTIF('PLO-NLH DEALER´S CHOICE PIJAMA'!$D$8:$D$27,$C237)+COUNTIF('Main Event SPT - Dia Final'!$D$8:$D$221,$C237)+COUNTIF('SECOND CHANCE'!$D$8:$D$86,$C237)+COUNTIF('HIGH ROLLER 50K'!$D$8:$D$38,$C237)+COUNTIF('OMAHA DEALER´S CHOICE'!$D$8:$D$30,$C237)</f>
        <v>1</v>
      </c>
      <c r="F237" s="8">
        <f>SUMIFS('200K OMAHA 5 K.O'!$C$8:$C$37,'200K OMAHA 5 K.O'!$D$8:$D$37,$C237)</f>
        <v>0</v>
      </c>
      <c r="G237" s="8">
        <f>SUMIFS(HORSE!$C$8:$C$26,HORSE!$D$8:$D$26,$C237)</f>
        <v>0</v>
      </c>
      <c r="H237" s="8">
        <f>SUMIFS('SUPER K.O'!$C$8:$C$41,'SUPER K.O'!$D$8:$D$41,$C237)</f>
        <v>0</v>
      </c>
      <c r="I237" s="8">
        <f>SUMIFS('8 GAME'!$C$8:$C$21,'8 GAME'!$D$8:$D$21,$C237)</f>
        <v>0</v>
      </c>
      <c r="J237" s="8">
        <f>SUMIFS('100K OMAHA MYSTERY BOUNTY'!$C$8:$C$32,'100K OMAHA MYSTERY BOUNTY'!$D$8:$D$32,$C237)</f>
        <v>0</v>
      </c>
      <c r="K237" s="8">
        <f>SUMIFS('CHAMPIONSHIP HIGH ROLLER 200K'!$C$8:$C$72,'CHAMPIONSHIP HIGH ROLLER 200K'!$D$8:$D$72,$C237)</f>
        <v>0</v>
      </c>
      <c r="L237" s="8">
        <f>SUMIFS('PLO-NLH DEALER´S CHOICE PIJAMA'!$C$8:$C$27,'PLO-NLH DEALER´S CHOICE PIJAMA'!$D$8:$D$27,$C237)</f>
        <v>0</v>
      </c>
      <c r="M237" s="8">
        <f>SUMIFS('Main Event SPT - Dia Final'!$C$8:$C$221,'Main Event SPT - Dia Final'!$D$8:$D$221,$C237)</f>
        <v>0</v>
      </c>
      <c r="N237" s="8">
        <f>SUMIFS('SECOND CHANCE'!$C$8:$C$86,'SECOND CHANCE'!$D$8:$D$86,$C237)</f>
        <v>10</v>
      </c>
      <c r="O237" s="8">
        <f>SUMIFS('HIGH ROLLER 50K'!$C$8:$C$38,'HIGH ROLLER 50K'!$D$8:$D$38,$C237)</f>
        <v>0</v>
      </c>
      <c r="P237" s="8">
        <f>SUMIFS('OMAHA DEALER´S CHOICE'!$C$8:$C$30,'OMAHA DEALER´S CHOICE'!$D$8:$D$30,$C237)</f>
        <v>0</v>
      </c>
    </row>
    <row r="238" spans="1:16">
      <c r="A238" s="4">
        <f t="shared" si="6"/>
        <v>173</v>
      </c>
      <c r="B238" s="5" t="s">
        <v>497</v>
      </c>
      <c r="C238" s="6" t="s">
        <v>498</v>
      </c>
      <c r="D238" s="7">
        <f t="shared" si="7"/>
        <v>10</v>
      </c>
      <c r="E238" s="4">
        <f>COUNTIF('200K OMAHA 5 K.O'!$D$8:$D$37,$C238)+COUNTIF(HORSE!$D$8:$D$26,$C238)+COUNTIF('SUPER K.O'!$D$8:$D$41,$C238)+COUNTIF('8 GAME'!$D$8:$D$21,$C238)+COUNTIF('100K OMAHA MYSTERY BOUNTY'!$D$8:$D$32,$C238)+COUNTIF('CHAMPIONSHIP HIGH ROLLER 200K'!$D$8:$D$72,$C238)+COUNTIF('PLO-NLH DEALER´S CHOICE PIJAMA'!$D$8:$D$27,$C238)+COUNTIF('Main Event SPT - Dia Final'!$D$8:$D$221,$C238)+COUNTIF('SECOND CHANCE'!$D$8:$D$86,$C238)+COUNTIF('HIGH ROLLER 50K'!$D$8:$D$38,$C238)+COUNTIF('OMAHA DEALER´S CHOICE'!$D$8:$D$30,$C238)</f>
        <v>1</v>
      </c>
      <c r="F238" s="8">
        <f>SUMIFS('200K OMAHA 5 K.O'!$C$8:$C$37,'200K OMAHA 5 K.O'!$D$8:$D$37,$C238)</f>
        <v>0</v>
      </c>
      <c r="G238" s="8">
        <f>SUMIFS(HORSE!$C$8:$C$26,HORSE!$D$8:$D$26,$C238)</f>
        <v>0</v>
      </c>
      <c r="H238" s="8">
        <f>SUMIFS('SUPER K.O'!$C$8:$C$41,'SUPER K.O'!$D$8:$D$41,$C238)</f>
        <v>0</v>
      </c>
      <c r="I238" s="8">
        <f>SUMIFS('8 GAME'!$C$8:$C$21,'8 GAME'!$D$8:$D$21,$C238)</f>
        <v>0</v>
      </c>
      <c r="J238" s="8">
        <f>SUMIFS('100K OMAHA MYSTERY BOUNTY'!$C$8:$C$32,'100K OMAHA MYSTERY BOUNTY'!$D$8:$D$32,$C238)</f>
        <v>0</v>
      </c>
      <c r="K238" s="8">
        <f>SUMIFS('CHAMPIONSHIP HIGH ROLLER 200K'!$C$8:$C$72,'CHAMPIONSHIP HIGH ROLLER 200K'!$D$8:$D$72,$C238)</f>
        <v>0</v>
      </c>
      <c r="L238" s="8">
        <f>SUMIFS('PLO-NLH DEALER´S CHOICE PIJAMA'!$C$8:$C$27,'PLO-NLH DEALER´S CHOICE PIJAMA'!$D$8:$D$27,$C238)</f>
        <v>0</v>
      </c>
      <c r="M238" s="8">
        <f>SUMIFS('Main Event SPT - Dia Final'!$C$8:$C$221,'Main Event SPT - Dia Final'!$D$8:$D$221,$C238)</f>
        <v>0</v>
      </c>
      <c r="N238" s="8">
        <f>SUMIFS('SECOND CHANCE'!$C$8:$C$86,'SECOND CHANCE'!$D$8:$D$86,$C238)</f>
        <v>10</v>
      </c>
      <c r="O238" s="8">
        <f>SUMIFS('HIGH ROLLER 50K'!$C$8:$C$38,'HIGH ROLLER 50K'!$D$8:$D$38,$C238)</f>
        <v>0</v>
      </c>
      <c r="P238" s="8">
        <f>SUMIFS('OMAHA DEALER´S CHOICE'!$C$8:$C$30,'OMAHA DEALER´S CHOICE'!$D$8:$D$30,$C238)</f>
        <v>0</v>
      </c>
    </row>
    <row r="239" spans="1:16">
      <c r="A239" s="4">
        <f t="shared" si="6"/>
        <v>173</v>
      </c>
      <c r="B239" s="5" t="s">
        <v>501</v>
      </c>
      <c r="C239" s="6" t="s">
        <v>502</v>
      </c>
      <c r="D239" s="7">
        <f t="shared" si="7"/>
        <v>10</v>
      </c>
      <c r="E239" s="4">
        <f>COUNTIF('200K OMAHA 5 K.O'!$D$8:$D$37,$C239)+COUNTIF(HORSE!$D$8:$D$26,$C239)+COUNTIF('SUPER K.O'!$D$8:$D$41,$C239)+COUNTIF('8 GAME'!$D$8:$D$21,$C239)+COUNTIF('100K OMAHA MYSTERY BOUNTY'!$D$8:$D$32,$C239)+COUNTIF('CHAMPIONSHIP HIGH ROLLER 200K'!$D$8:$D$72,$C239)+COUNTIF('PLO-NLH DEALER´S CHOICE PIJAMA'!$D$8:$D$27,$C239)+COUNTIF('Main Event SPT - Dia Final'!$D$8:$D$221,$C239)+COUNTIF('SECOND CHANCE'!$D$8:$D$86,$C239)+COUNTIF('HIGH ROLLER 50K'!$D$8:$D$38,$C239)+COUNTIF('OMAHA DEALER´S CHOICE'!$D$8:$D$30,$C239)</f>
        <v>1</v>
      </c>
      <c r="F239" s="8">
        <f>SUMIFS('200K OMAHA 5 K.O'!$C$8:$C$37,'200K OMAHA 5 K.O'!$D$8:$D$37,$C239)</f>
        <v>0</v>
      </c>
      <c r="G239" s="8">
        <f>SUMIFS(HORSE!$C$8:$C$26,HORSE!$D$8:$D$26,$C239)</f>
        <v>0</v>
      </c>
      <c r="H239" s="8">
        <f>SUMIFS('SUPER K.O'!$C$8:$C$41,'SUPER K.O'!$D$8:$D$41,$C239)</f>
        <v>0</v>
      </c>
      <c r="I239" s="8">
        <f>SUMIFS('8 GAME'!$C$8:$C$21,'8 GAME'!$D$8:$D$21,$C239)</f>
        <v>0</v>
      </c>
      <c r="J239" s="8">
        <f>SUMIFS('100K OMAHA MYSTERY BOUNTY'!$C$8:$C$32,'100K OMAHA MYSTERY BOUNTY'!$D$8:$D$32,$C239)</f>
        <v>0</v>
      </c>
      <c r="K239" s="8">
        <f>SUMIFS('CHAMPIONSHIP HIGH ROLLER 200K'!$C$8:$C$72,'CHAMPIONSHIP HIGH ROLLER 200K'!$D$8:$D$72,$C239)</f>
        <v>0</v>
      </c>
      <c r="L239" s="8">
        <f>SUMIFS('PLO-NLH DEALER´S CHOICE PIJAMA'!$C$8:$C$27,'PLO-NLH DEALER´S CHOICE PIJAMA'!$D$8:$D$27,$C239)</f>
        <v>0</v>
      </c>
      <c r="M239" s="8">
        <f>SUMIFS('Main Event SPT - Dia Final'!$C$8:$C$221,'Main Event SPT - Dia Final'!$D$8:$D$221,$C239)</f>
        <v>0</v>
      </c>
      <c r="N239" s="8">
        <f>SUMIFS('SECOND CHANCE'!$C$8:$C$86,'SECOND CHANCE'!$D$8:$D$86,$C239)</f>
        <v>10</v>
      </c>
      <c r="O239" s="8">
        <f>SUMIFS('HIGH ROLLER 50K'!$C$8:$C$38,'HIGH ROLLER 50K'!$D$8:$D$38,$C239)</f>
        <v>0</v>
      </c>
      <c r="P239" s="8">
        <f>SUMIFS('OMAHA DEALER´S CHOICE'!$C$8:$C$30,'OMAHA DEALER´S CHOICE'!$D$8:$D$30,$C239)</f>
        <v>0</v>
      </c>
    </row>
    <row r="240" spans="1:16">
      <c r="A240" s="4">
        <f t="shared" si="6"/>
        <v>173</v>
      </c>
      <c r="B240" s="5" t="s">
        <v>505</v>
      </c>
      <c r="C240" s="6" t="s">
        <v>506</v>
      </c>
      <c r="D240" s="7">
        <f t="shared" si="7"/>
        <v>10</v>
      </c>
      <c r="E240" s="4">
        <f>COUNTIF('200K OMAHA 5 K.O'!$D$8:$D$37,$C240)+COUNTIF(HORSE!$D$8:$D$26,$C240)+COUNTIF('SUPER K.O'!$D$8:$D$41,$C240)+COUNTIF('8 GAME'!$D$8:$D$21,$C240)+COUNTIF('100K OMAHA MYSTERY BOUNTY'!$D$8:$D$32,$C240)+COUNTIF('CHAMPIONSHIP HIGH ROLLER 200K'!$D$8:$D$72,$C240)+COUNTIF('PLO-NLH DEALER´S CHOICE PIJAMA'!$D$8:$D$27,$C240)+COUNTIF('Main Event SPT - Dia Final'!$D$8:$D$221,$C240)+COUNTIF('SECOND CHANCE'!$D$8:$D$86,$C240)+COUNTIF('HIGH ROLLER 50K'!$D$8:$D$38,$C240)+COUNTIF('OMAHA DEALER´S CHOICE'!$D$8:$D$30,$C240)</f>
        <v>1</v>
      </c>
      <c r="F240" s="8">
        <f>SUMIFS('200K OMAHA 5 K.O'!$C$8:$C$37,'200K OMAHA 5 K.O'!$D$8:$D$37,$C240)</f>
        <v>0</v>
      </c>
      <c r="G240" s="8">
        <f>SUMIFS(HORSE!$C$8:$C$26,HORSE!$D$8:$D$26,$C240)</f>
        <v>0</v>
      </c>
      <c r="H240" s="8">
        <f>SUMIFS('SUPER K.O'!$C$8:$C$41,'SUPER K.O'!$D$8:$D$41,$C240)</f>
        <v>0</v>
      </c>
      <c r="I240" s="8">
        <f>SUMIFS('8 GAME'!$C$8:$C$21,'8 GAME'!$D$8:$D$21,$C240)</f>
        <v>0</v>
      </c>
      <c r="J240" s="8">
        <f>SUMIFS('100K OMAHA MYSTERY BOUNTY'!$C$8:$C$32,'100K OMAHA MYSTERY BOUNTY'!$D$8:$D$32,$C240)</f>
        <v>0</v>
      </c>
      <c r="K240" s="8">
        <f>SUMIFS('CHAMPIONSHIP HIGH ROLLER 200K'!$C$8:$C$72,'CHAMPIONSHIP HIGH ROLLER 200K'!$D$8:$D$72,$C240)</f>
        <v>0</v>
      </c>
      <c r="L240" s="8">
        <f>SUMIFS('PLO-NLH DEALER´S CHOICE PIJAMA'!$C$8:$C$27,'PLO-NLH DEALER´S CHOICE PIJAMA'!$D$8:$D$27,$C240)</f>
        <v>0</v>
      </c>
      <c r="M240" s="8">
        <f>SUMIFS('Main Event SPT - Dia Final'!$C$8:$C$221,'Main Event SPT - Dia Final'!$D$8:$D$221,$C240)</f>
        <v>0</v>
      </c>
      <c r="N240" s="8">
        <f>SUMIFS('SECOND CHANCE'!$C$8:$C$86,'SECOND CHANCE'!$D$8:$D$86,$C240)</f>
        <v>10</v>
      </c>
      <c r="O240" s="8">
        <f>SUMIFS('HIGH ROLLER 50K'!$C$8:$C$38,'HIGH ROLLER 50K'!$D$8:$D$38,$C240)</f>
        <v>0</v>
      </c>
      <c r="P240" s="8">
        <f>SUMIFS('OMAHA DEALER´S CHOICE'!$C$8:$C$30,'OMAHA DEALER´S CHOICE'!$D$8:$D$30,$C240)</f>
        <v>0</v>
      </c>
    </row>
    <row r="241" spans="1:16">
      <c r="A241" s="4">
        <f t="shared" si="6"/>
        <v>173</v>
      </c>
      <c r="B241" s="5" t="s">
        <v>507</v>
      </c>
      <c r="C241" s="6" t="s">
        <v>508</v>
      </c>
      <c r="D241" s="7">
        <f t="shared" si="7"/>
        <v>10</v>
      </c>
      <c r="E241" s="4">
        <f>COUNTIF('200K OMAHA 5 K.O'!$D$8:$D$37,$C241)+COUNTIF(HORSE!$D$8:$D$26,$C241)+COUNTIF('SUPER K.O'!$D$8:$D$41,$C241)+COUNTIF('8 GAME'!$D$8:$D$21,$C241)+COUNTIF('100K OMAHA MYSTERY BOUNTY'!$D$8:$D$32,$C241)+COUNTIF('CHAMPIONSHIP HIGH ROLLER 200K'!$D$8:$D$72,$C241)+COUNTIF('PLO-NLH DEALER´S CHOICE PIJAMA'!$D$8:$D$27,$C241)+COUNTIF('Main Event SPT - Dia Final'!$D$8:$D$221,$C241)+COUNTIF('SECOND CHANCE'!$D$8:$D$86,$C241)+COUNTIF('HIGH ROLLER 50K'!$D$8:$D$38,$C241)+COUNTIF('OMAHA DEALER´S CHOICE'!$D$8:$D$30,$C241)</f>
        <v>1</v>
      </c>
      <c r="F241" s="8">
        <f>SUMIFS('200K OMAHA 5 K.O'!$C$8:$C$37,'200K OMAHA 5 K.O'!$D$8:$D$37,$C241)</f>
        <v>0</v>
      </c>
      <c r="G241" s="8">
        <f>SUMIFS(HORSE!$C$8:$C$26,HORSE!$D$8:$D$26,$C241)</f>
        <v>0</v>
      </c>
      <c r="H241" s="8">
        <f>SUMIFS('SUPER K.O'!$C$8:$C$41,'SUPER K.O'!$D$8:$D$41,$C241)</f>
        <v>0</v>
      </c>
      <c r="I241" s="8">
        <f>SUMIFS('8 GAME'!$C$8:$C$21,'8 GAME'!$D$8:$D$21,$C241)</f>
        <v>0</v>
      </c>
      <c r="J241" s="8">
        <f>SUMIFS('100K OMAHA MYSTERY BOUNTY'!$C$8:$C$32,'100K OMAHA MYSTERY BOUNTY'!$D$8:$D$32,$C241)</f>
        <v>0</v>
      </c>
      <c r="K241" s="8">
        <f>SUMIFS('CHAMPIONSHIP HIGH ROLLER 200K'!$C$8:$C$72,'CHAMPIONSHIP HIGH ROLLER 200K'!$D$8:$D$72,$C241)</f>
        <v>0</v>
      </c>
      <c r="L241" s="8">
        <f>SUMIFS('PLO-NLH DEALER´S CHOICE PIJAMA'!$C$8:$C$27,'PLO-NLH DEALER´S CHOICE PIJAMA'!$D$8:$D$27,$C241)</f>
        <v>0</v>
      </c>
      <c r="M241" s="8">
        <f>SUMIFS('Main Event SPT - Dia Final'!$C$8:$C$221,'Main Event SPT - Dia Final'!$D$8:$D$221,$C241)</f>
        <v>0</v>
      </c>
      <c r="N241" s="8">
        <f>SUMIFS('SECOND CHANCE'!$C$8:$C$86,'SECOND CHANCE'!$D$8:$D$86,$C241)</f>
        <v>10</v>
      </c>
      <c r="O241" s="8">
        <f>SUMIFS('HIGH ROLLER 50K'!$C$8:$C$38,'HIGH ROLLER 50K'!$D$8:$D$38,$C241)</f>
        <v>0</v>
      </c>
      <c r="P241" s="8">
        <f>SUMIFS('OMAHA DEALER´S CHOICE'!$C$8:$C$30,'OMAHA DEALER´S CHOICE'!$D$8:$D$30,$C241)</f>
        <v>0</v>
      </c>
    </row>
    <row r="242" spans="1:16">
      <c r="A242" s="4">
        <f t="shared" si="6"/>
        <v>173</v>
      </c>
      <c r="B242" s="5" t="s">
        <v>509</v>
      </c>
      <c r="C242" s="6" t="s">
        <v>510</v>
      </c>
      <c r="D242" s="7">
        <f t="shared" si="7"/>
        <v>10</v>
      </c>
      <c r="E242" s="4">
        <f>COUNTIF('200K OMAHA 5 K.O'!$D$8:$D$37,$C242)+COUNTIF(HORSE!$D$8:$D$26,$C242)+COUNTIF('SUPER K.O'!$D$8:$D$41,$C242)+COUNTIF('8 GAME'!$D$8:$D$21,$C242)+COUNTIF('100K OMAHA MYSTERY BOUNTY'!$D$8:$D$32,$C242)+COUNTIF('CHAMPIONSHIP HIGH ROLLER 200K'!$D$8:$D$72,$C242)+COUNTIF('PLO-NLH DEALER´S CHOICE PIJAMA'!$D$8:$D$27,$C242)+COUNTIF('Main Event SPT - Dia Final'!$D$8:$D$221,$C242)+COUNTIF('SECOND CHANCE'!$D$8:$D$86,$C242)+COUNTIF('HIGH ROLLER 50K'!$D$8:$D$38,$C242)+COUNTIF('OMAHA DEALER´S CHOICE'!$D$8:$D$30,$C242)</f>
        <v>1</v>
      </c>
      <c r="F242" s="8">
        <f>SUMIFS('200K OMAHA 5 K.O'!$C$8:$C$37,'200K OMAHA 5 K.O'!$D$8:$D$37,$C242)</f>
        <v>0</v>
      </c>
      <c r="G242" s="8">
        <f>SUMIFS(HORSE!$C$8:$C$26,HORSE!$D$8:$D$26,$C242)</f>
        <v>0</v>
      </c>
      <c r="H242" s="8">
        <f>SUMIFS('SUPER K.O'!$C$8:$C$41,'SUPER K.O'!$D$8:$D$41,$C242)</f>
        <v>0</v>
      </c>
      <c r="I242" s="8">
        <f>SUMIFS('8 GAME'!$C$8:$C$21,'8 GAME'!$D$8:$D$21,$C242)</f>
        <v>0</v>
      </c>
      <c r="J242" s="8">
        <f>SUMIFS('100K OMAHA MYSTERY BOUNTY'!$C$8:$C$32,'100K OMAHA MYSTERY BOUNTY'!$D$8:$D$32,$C242)</f>
        <v>0</v>
      </c>
      <c r="K242" s="8">
        <f>SUMIFS('CHAMPIONSHIP HIGH ROLLER 200K'!$C$8:$C$72,'CHAMPIONSHIP HIGH ROLLER 200K'!$D$8:$D$72,$C242)</f>
        <v>0</v>
      </c>
      <c r="L242" s="8">
        <f>SUMIFS('PLO-NLH DEALER´S CHOICE PIJAMA'!$C$8:$C$27,'PLO-NLH DEALER´S CHOICE PIJAMA'!$D$8:$D$27,$C242)</f>
        <v>0</v>
      </c>
      <c r="M242" s="8">
        <f>SUMIFS('Main Event SPT - Dia Final'!$C$8:$C$221,'Main Event SPT - Dia Final'!$D$8:$D$221,$C242)</f>
        <v>0</v>
      </c>
      <c r="N242" s="8">
        <f>SUMIFS('SECOND CHANCE'!$C$8:$C$86,'SECOND CHANCE'!$D$8:$D$86,$C242)</f>
        <v>10</v>
      </c>
      <c r="O242" s="8">
        <f>SUMIFS('HIGH ROLLER 50K'!$C$8:$C$38,'HIGH ROLLER 50K'!$D$8:$D$38,$C242)</f>
        <v>0</v>
      </c>
      <c r="P242" s="8">
        <f>SUMIFS('OMAHA DEALER´S CHOICE'!$C$8:$C$30,'OMAHA DEALER´S CHOICE'!$D$8:$D$30,$C242)</f>
        <v>0</v>
      </c>
    </row>
    <row r="243" spans="1:16">
      <c r="A243" s="4">
        <f t="shared" si="6"/>
        <v>173</v>
      </c>
      <c r="B243" s="5" t="s">
        <v>511</v>
      </c>
      <c r="C243" s="6" t="s">
        <v>512</v>
      </c>
      <c r="D243" s="7">
        <f t="shared" si="7"/>
        <v>10</v>
      </c>
      <c r="E243" s="4">
        <f>COUNTIF('200K OMAHA 5 K.O'!$D$8:$D$37,$C243)+COUNTIF(HORSE!$D$8:$D$26,$C243)+COUNTIF('SUPER K.O'!$D$8:$D$41,$C243)+COUNTIF('8 GAME'!$D$8:$D$21,$C243)+COUNTIF('100K OMAHA MYSTERY BOUNTY'!$D$8:$D$32,$C243)+COUNTIF('CHAMPIONSHIP HIGH ROLLER 200K'!$D$8:$D$72,$C243)+COUNTIF('PLO-NLH DEALER´S CHOICE PIJAMA'!$D$8:$D$27,$C243)+COUNTIF('Main Event SPT - Dia Final'!$D$8:$D$221,$C243)+COUNTIF('SECOND CHANCE'!$D$8:$D$86,$C243)+COUNTIF('HIGH ROLLER 50K'!$D$8:$D$38,$C243)+COUNTIF('OMAHA DEALER´S CHOICE'!$D$8:$D$30,$C243)</f>
        <v>1</v>
      </c>
      <c r="F243" s="8">
        <f>SUMIFS('200K OMAHA 5 K.O'!$C$8:$C$37,'200K OMAHA 5 K.O'!$D$8:$D$37,$C243)</f>
        <v>0</v>
      </c>
      <c r="G243" s="8">
        <f>SUMIFS(HORSE!$C$8:$C$26,HORSE!$D$8:$D$26,$C243)</f>
        <v>0</v>
      </c>
      <c r="H243" s="8">
        <f>SUMIFS('SUPER K.O'!$C$8:$C$41,'SUPER K.O'!$D$8:$D$41,$C243)</f>
        <v>0</v>
      </c>
      <c r="I243" s="8">
        <f>SUMIFS('8 GAME'!$C$8:$C$21,'8 GAME'!$D$8:$D$21,$C243)</f>
        <v>0</v>
      </c>
      <c r="J243" s="8">
        <f>SUMIFS('100K OMAHA MYSTERY BOUNTY'!$C$8:$C$32,'100K OMAHA MYSTERY BOUNTY'!$D$8:$D$32,$C243)</f>
        <v>0</v>
      </c>
      <c r="K243" s="8">
        <f>SUMIFS('CHAMPIONSHIP HIGH ROLLER 200K'!$C$8:$C$72,'CHAMPIONSHIP HIGH ROLLER 200K'!$D$8:$D$72,$C243)</f>
        <v>0</v>
      </c>
      <c r="L243" s="8">
        <f>SUMIFS('PLO-NLH DEALER´S CHOICE PIJAMA'!$C$8:$C$27,'PLO-NLH DEALER´S CHOICE PIJAMA'!$D$8:$D$27,$C243)</f>
        <v>0</v>
      </c>
      <c r="M243" s="8">
        <f>SUMIFS('Main Event SPT - Dia Final'!$C$8:$C$221,'Main Event SPT - Dia Final'!$D$8:$D$221,$C243)</f>
        <v>0</v>
      </c>
      <c r="N243" s="8">
        <f>SUMIFS('SECOND CHANCE'!$C$8:$C$86,'SECOND CHANCE'!$D$8:$D$86,$C243)</f>
        <v>10</v>
      </c>
      <c r="O243" s="8">
        <f>SUMIFS('HIGH ROLLER 50K'!$C$8:$C$38,'HIGH ROLLER 50K'!$D$8:$D$38,$C243)</f>
        <v>0</v>
      </c>
      <c r="P243" s="8">
        <f>SUMIFS('OMAHA DEALER´S CHOICE'!$C$8:$C$30,'OMAHA DEALER´S CHOICE'!$D$8:$D$30,$C243)</f>
        <v>0</v>
      </c>
    </row>
    <row r="244" spans="1:16">
      <c r="A244" s="4">
        <f t="shared" si="6"/>
        <v>173</v>
      </c>
      <c r="B244" s="5" t="s">
        <v>513</v>
      </c>
      <c r="C244" s="6" t="s">
        <v>514</v>
      </c>
      <c r="D244" s="7">
        <f t="shared" si="7"/>
        <v>10</v>
      </c>
      <c r="E244" s="4">
        <f>COUNTIF('200K OMAHA 5 K.O'!$D$8:$D$37,$C244)+COUNTIF(HORSE!$D$8:$D$26,$C244)+COUNTIF('SUPER K.O'!$D$8:$D$41,$C244)+COUNTIF('8 GAME'!$D$8:$D$21,$C244)+COUNTIF('100K OMAHA MYSTERY BOUNTY'!$D$8:$D$32,$C244)+COUNTIF('CHAMPIONSHIP HIGH ROLLER 200K'!$D$8:$D$72,$C244)+COUNTIF('PLO-NLH DEALER´S CHOICE PIJAMA'!$D$8:$D$27,$C244)+COUNTIF('Main Event SPT - Dia Final'!$D$8:$D$221,$C244)+COUNTIF('SECOND CHANCE'!$D$8:$D$86,$C244)+COUNTIF('HIGH ROLLER 50K'!$D$8:$D$38,$C244)+COUNTIF('OMAHA DEALER´S CHOICE'!$D$8:$D$30,$C244)</f>
        <v>1</v>
      </c>
      <c r="F244" s="8">
        <f>SUMIFS('200K OMAHA 5 K.O'!$C$8:$C$37,'200K OMAHA 5 K.O'!$D$8:$D$37,$C244)</f>
        <v>0</v>
      </c>
      <c r="G244" s="8">
        <f>SUMIFS(HORSE!$C$8:$C$26,HORSE!$D$8:$D$26,$C244)</f>
        <v>0</v>
      </c>
      <c r="H244" s="8">
        <f>SUMIFS('SUPER K.O'!$C$8:$C$41,'SUPER K.O'!$D$8:$D$41,$C244)</f>
        <v>0</v>
      </c>
      <c r="I244" s="8">
        <f>SUMIFS('8 GAME'!$C$8:$C$21,'8 GAME'!$D$8:$D$21,$C244)</f>
        <v>0</v>
      </c>
      <c r="J244" s="8">
        <f>SUMIFS('100K OMAHA MYSTERY BOUNTY'!$C$8:$C$32,'100K OMAHA MYSTERY BOUNTY'!$D$8:$D$32,$C244)</f>
        <v>0</v>
      </c>
      <c r="K244" s="8">
        <f>SUMIFS('CHAMPIONSHIP HIGH ROLLER 200K'!$C$8:$C$72,'CHAMPIONSHIP HIGH ROLLER 200K'!$D$8:$D$72,$C244)</f>
        <v>0</v>
      </c>
      <c r="L244" s="8">
        <f>SUMIFS('PLO-NLH DEALER´S CHOICE PIJAMA'!$C$8:$C$27,'PLO-NLH DEALER´S CHOICE PIJAMA'!$D$8:$D$27,$C244)</f>
        <v>0</v>
      </c>
      <c r="M244" s="8">
        <f>SUMIFS('Main Event SPT - Dia Final'!$C$8:$C$221,'Main Event SPT - Dia Final'!$D$8:$D$221,$C244)</f>
        <v>0</v>
      </c>
      <c r="N244" s="8">
        <f>SUMIFS('SECOND CHANCE'!$C$8:$C$86,'SECOND CHANCE'!$D$8:$D$86,$C244)</f>
        <v>10</v>
      </c>
      <c r="O244" s="8">
        <f>SUMIFS('HIGH ROLLER 50K'!$C$8:$C$38,'HIGH ROLLER 50K'!$D$8:$D$38,$C244)</f>
        <v>0</v>
      </c>
      <c r="P244" s="8">
        <f>SUMIFS('OMAHA DEALER´S CHOICE'!$C$8:$C$30,'OMAHA DEALER´S CHOICE'!$D$8:$D$30,$C244)</f>
        <v>0</v>
      </c>
    </row>
    <row r="245" spans="1:16">
      <c r="A245" s="4">
        <f t="shared" si="6"/>
        <v>173</v>
      </c>
      <c r="B245" s="5" t="s">
        <v>515</v>
      </c>
      <c r="C245" s="6" t="s">
        <v>516</v>
      </c>
      <c r="D245" s="7">
        <f t="shared" si="7"/>
        <v>10</v>
      </c>
      <c r="E245" s="4">
        <f>COUNTIF('200K OMAHA 5 K.O'!$D$8:$D$37,$C245)+COUNTIF(HORSE!$D$8:$D$26,$C245)+COUNTIF('SUPER K.O'!$D$8:$D$41,$C245)+COUNTIF('8 GAME'!$D$8:$D$21,$C245)+COUNTIF('100K OMAHA MYSTERY BOUNTY'!$D$8:$D$32,$C245)+COUNTIF('CHAMPIONSHIP HIGH ROLLER 200K'!$D$8:$D$72,$C245)+COUNTIF('PLO-NLH DEALER´S CHOICE PIJAMA'!$D$8:$D$27,$C245)+COUNTIF('Main Event SPT - Dia Final'!$D$8:$D$221,$C245)+COUNTIF('SECOND CHANCE'!$D$8:$D$86,$C245)+COUNTIF('HIGH ROLLER 50K'!$D$8:$D$38,$C245)+COUNTIF('OMAHA DEALER´S CHOICE'!$D$8:$D$30,$C245)</f>
        <v>1</v>
      </c>
      <c r="F245" s="8">
        <f>SUMIFS('200K OMAHA 5 K.O'!$C$8:$C$37,'200K OMAHA 5 K.O'!$D$8:$D$37,$C245)</f>
        <v>0</v>
      </c>
      <c r="G245" s="8">
        <f>SUMIFS(HORSE!$C$8:$C$26,HORSE!$D$8:$D$26,$C245)</f>
        <v>0</v>
      </c>
      <c r="H245" s="8">
        <f>SUMIFS('SUPER K.O'!$C$8:$C$41,'SUPER K.O'!$D$8:$D$41,$C245)</f>
        <v>0</v>
      </c>
      <c r="I245" s="8">
        <f>SUMIFS('8 GAME'!$C$8:$C$21,'8 GAME'!$D$8:$D$21,$C245)</f>
        <v>0</v>
      </c>
      <c r="J245" s="8">
        <f>SUMIFS('100K OMAHA MYSTERY BOUNTY'!$C$8:$C$32,'100K OMAHA MYSTERY BOUNTY'!$D$8:$D$32,$C245)</f>
        <v>0</v>
      </c>
      <c r="K245" s="8">
        <f>SUMIFS('CHAMPIONSHIP HIGH ROLLER 200K'!$C$8:$C$72,'CHAMPIONSHIP HIGH ROLLER 200K'!$D$8:$D$72,$C245)</f>
        <v>0</v>
      </c>
      <c r="L245" s="8">
        <f>SUMIFS('PLO-NLH DEALER´S CHOICE PIJAMA'!$C$8:$C$27,'PLO-NLH DEALER´S CHOICE PIJAMA'!$D$8:$D$27,$C245)</f>
        <v>0</v>
      </c>
      <c r="M245" s="8">
        <f>SUMIFS('Main Event SPT - Dia Final'!$C$8:$C$221,'Main Event SPT - Dia Final'!$D$8:$D$221,$C245)</f>
        <v>0</v>
      </c>
      <c r="N245" s="8">
        <f>SUMIFS('SECOND CHANCE'!$C$8:$C$86,'SECOND CHANCE'!$D$8:$D$86,$C245)</f>
        <v>10</v>
      </c>
      <c r="O245" s="8">
        <f>SUMIFS('HIGH ROLLER 50K'!$C$8:$C$38,'HIGH ROLLER 50K'!$D$8:$D$38,$C245)</f>
        <v>0</v>
      </c>
      <c r="P245" s="8">
        <f>SUMIFS('OMAHA DEALER´S CHOICE'!$C$8:$C$30,'OMAHA DEALER´S CHOICE'!$D$8:$D$30,$C245)</f>
        <v>0</v>
      </c>
    </row>
    <row r="247" spans="1:16">
      <c r="B247" s="9" t="s">
        <v>525</v>
      </c>
      <c r="D247" s="10">
        <f>SUM(D5:D245)</f>
        <v>102141.55</v>
      </c>
      <c r="F247" s="10">
        <f t="shared" ref="F247:P247" si="8">SUM(F5:F245)</f>
        <v>6620</v>
      </c>
      <c r="G247" s="10">
        <f t="shared" si="8"/>
        <v>2289</v>
      </c>
      <c r="H247" s="10">
        <f t="shared" si="8"/>
        <v>3514</v>
      </c>
      <c r="I247" s="10">
        <f t="shared" si="8"/>
        <v>2480.8</v>
      </c>
      <c r="J247" s="10">
        <f t="shared" si="8"/>
        <v>4490</v>
      </c>
      <c r="K247" s="10">
        <f t="shared" si="8"/>
        <v>15356.25</v>
      </c>
      <c r="L247" s="10">
        <f t="shared" si="8"/>
        <v>2330</v>
      </c>
      <c r="M247" s="10">
        <f t="shared" si="8"/>
        <v>45537</v>
      </c>
      <c r="N247" s="10">
        <f t="shared" si="8"/>
        <v>9942.5</v>
      </c>
      <c r="O247" s="10">
        <f t="shared" si="8"/>
        <v>6173.5</v>
      </c>
      <c r="P247" s="10">
        <f t="shared" si="8"/>
        <v>3408.5</v>
      </c>
    </row>
  </sheetData>
  <autoFilter xmlns:etc="http://www.wps.cn/officeDocument/2017/etCustomData" ref="A4:P24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200K OMAHA 5 K.O</vt:lpstr>
      <vt:lpstr>HORSE</vt:lpstr>
      <vt:lpstr>SUPER K.O</vt:lpstr>
      <vt:lpstr>8 GAME</vt:lpstr>
      <vt:lpstr>100K OMAHA MYSTERY BOUNTY</vt:lpstr>
      <vt:lpstr>CHAMPIONSHIP HIGH ROLLER 200K</vt:lpstr>
      <vt:lpstr>PLO-NLH DEALER´S CHOICE PIJAMA</vt:lpstr>
      <vt:lpstr>Main Event SPT - Dia Final</vt:lpstr>
      <vt:lpstr>SECOND CHANCE</vt:lpstr>
      <vt:lpstr>HIGH ROLLER 50K</vt:lpstr>
      <vt:lpstr>OMAHA DEALER´S CHOICE</vt:lpstr>
      <vt:lpstr>Consolidado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Augusto</cp:lastModifiedBy>
  <dcterms:created xsi:type="dcterms:W3CDTF">2026-10-20T11:15:00Z</dcterms:created>
  <dcterms:modified xsi:type="dcterms:W3CDTF">2026-10-20T11:57:05Z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0869FC14BA1B494AACD41C164416A86D_12</vt:lpwstr>
  </property>
  <property fmtid="{D5CDD505-2E9C-101B-9397-08002B2CF9AE}" pid="3" name="KSOProductBuildVer">
    <vt:lpwstr>1046-12.1.0.29162</vt:lpwstr>
  </property>
  <property fmtid="{D5CDD505-2E9C-101B-9397-08002B2CF9AE}" pid="4" name="CalculationRule">
    <vt:i4>0</vt:i4>
  </property>
</Properties>
</file>